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tabRatio="500" activeTab="3"/>
  </bookViews>
  <sheets>
    <sheet name="Constants" sheetId="1" r:id="rId1"/>
    <sheet name="TrackingConstants" sheetId="2" r:id="rId2"/>
    <sheet name="IDs" sheetId="3" r:id="rId3"/>
    <sheet name="Configuration" sheetId="11" r:id="rId4"/>
    <sheet name="Characters" sheetId="4" r:id="rId5"/>
    <sheet name="Enemies" sheetId="5" r:id="rId6"/>
    <sheet name="EnemyAttacks" sheetId="6" r:id="rId7"/>
    <sheet name="Mods" sheetId="7" r:id="rId8"/>
    <sheet name="Equipments" sheetId="8" r:id="rId9"/>
    <sheet name="RescueRewards" sheetId="9" r:id="rId10"/>
    <sheet name="PlayerLevels" sheetId="10" r:id="rId11"/>
  </sheets>
  <definedNames>
    <definedName name="_xlnm._FilterDatabase" localSheetId="5" hidden="1">Enemies!$A$1:$O$31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B22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Unused</t>
        </r>
      </text>
    </comment>
    <comment ref="AB23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Unused</t>
        </r>
      </text>
    </comment>
    <comment ref="G35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0 Total Mines
1 Total Atk Inc
2 Cooldown
3 Aoe Radius</t>
        </r>
      </text>
    </comment>
    <comment ref="G37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{0} Duration
{1} Cooldown</t>
        </r>
      </text>
    </comment>
    <comment ref="G39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0: chance
1: total atk inc
2: aoe radius</t>
        </r>
      </text>
    </comment>
    <comment ref="G43" authorId="0">
      <text>
        <r>
          <rPr>
            <sz val="11"/>
            <color rgb="FF000000"/>
            <rFont val="Calibri"/>
            <charset val="134"/>
          </rPr>
          <t>0: Total Dmg Inc
1: Aoe Radius</t>
        </r>
      </text>
    </comment>
    <comment ref="G45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0: cooldown
1: strikes count
2: atk inc
3: aoe radius</t>
        </r>
      </text>
    </comment>
    <comment ref="G51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0: chance
1: atk total inc
2: spread</t>
        </r>
      </text>
    </comment>
    <comment ref="G56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0: chance
1: duration
2: move speed dec</t>
        </r>
      </text>
    </comment>
    <comment ref="G59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0: Atk Inc
1: duration</t>
        </r>
      </text>
    </comment>
    <comment ref="G60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{0} move speed inc
{1} dodge chance
{2} duration</t>
        </r>
      </text>
    </comment>
    <comment ref="G61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{0} duration</t>
        </r>
      </text>
    </comment>
    <comment ref="G76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{0} move speed inc
{1} dodge chance</t>
        </r>
      </text>
    </comment>
    <comment ref="G77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{0} atk inc
{1} fire rate inc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L15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When the projectile is beam, magazine is hold time with seconds as the unit</t>
        </r>
      </text>
    </comment>
    <comment ref="L50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When the projectile is beam, magazine is hold time with seconds as the unit</t>
        </r>
      </text>
    </comment>
    <comment ref="L68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When the projectile is beam, magazine is hold time with seconds as the unit</t>
        </r>
      </text>
    </comment>
    <comment ref="L96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When the projectile is beam, magazine is hold time with seconds as the unit</t>
        </r>
      </text>
    </comment>
  </commentList>
</comments>
</file>

<file path=xl/comments3.xml><?xml version="1.0" encoding="utf-8"?>
<comments xmlns="http://schemas.openxmlformats.org/spreadsheetml/2006/main">
  <authors>
    <author/>
    <author>Author</author>
  </authors>
  <commentList>
    <comment ref="A35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0 Total Mines
1 Total Atk Inc
2 Cooldown
3 Aoe Radius</t>
        </r>
      </text>
    </comment>
    <comment ref="A37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{0} Duration
{1} Cooldown</t>
        </r>
      </text>
    </comment>
    <comment ref="A39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0: chance
1: total atk inc
2: aoe radius</t>
        </r>
      </text>
    </comment>
    <comment ref="A43" authorId="0">
      <text>
        <r>
          <rPr>
            <sz val="11"/>
            <color rgb="FF000000"/>
            <rFont val="Calibri"/>
            <charset val="134"/>
          </rPr>
          <t>0: Total Dmg Inc
1: Aoe Radius</t>
        </r>
      </text>
    </comment>
    <comment ref="A45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0: cooldown
1: strikes count
2: atk inc
3: aoe radius</t>
        </r>
      </text>
    </comment>
    <comment ref="A51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0: chance
1: atk total inc
2: spread</t>
        </r>
      </text>
    </comment>
    <comment ref="A56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0: chance
1: duration
2: move speed dec</t>
        </r>
      </text>
    </comment>
    <comment ref="A59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0: Atk Inc
1: duration</t>
        </r>
      </text>
    </comment>
    <comment ref="A60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{0} move speed inc
{1} dodge chance
{2} duration</t>
        </r>
      </text>
    </comment>
    <comment ref="A61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{0} duration</t>
        </r>
      </text>
    </comment>
    <comment ref="A76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{0} move speed inc
{1} dodge chance
{2} duration</t>
        </r>
      </text>
    </comment>
    <comment ref="A77" authorId="0">
      <text>
        <r>
          <rPr>
            <sz val="11"/>
            <color rgb="FF000000"/>
            <rFont val="Calibri"/>
            <charset val="134"/>
          </rPr>
          <t xml:space="preserve">Author:
</t>
        </r>
        <r>
          <rPr>
            <sz val="9"/>
            <color rgb="FF000000"/>
            <rFont val="Tahoma"/>
            <charset val="134"/>
          </rPr>
          <t>{0} atk inc
{1} fire rate inc
{2} duration</t>
        </r>
      </text>
    </comment>
    <comment ref="A90" authorId="1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0 Total Mines
1 Total Atk Inc
2 Cooldown
3 Aoe Radius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J1" authorId="0">
      <text>
        <r>
          <rPr>
            <sz val="11"/>
            <color rgb="FF000000"/>
            <rFont val="Calibri"/>
            <charset val="134"/>
          </rPr>
          <t>base mod id</t>
        </r>
      </text>
    </comment>
    <comment ref="K1" authorId="0">
      <text>
        <r>
          <rPr>
            <sz val="11"/>
            <color rgb="FF000000"/>
            <rFont val="Calibri"/>
            <charset val="134"/>
          </rPr>
          <t>base mod and its multiplier value
this value multiples to value in ArmorStats/WeaponStats sheet</t>
        </r>
      </text>
    </comment>
  </commentList>
</comments>
</file>

<file path=xl/sharedStrings.xml><?xml version="1.0" encoding="utf-8"?>
<sst xmlns="http://schemas.openxmlformats.org/spreadsheetml/2006/main" count="1699" uniqueCount="996">
  <si>
    <t>Name</t>
  </si>
  <si>
    <t>Type</t>
  </si>
  <si>
    <t>Value</t>
  </si>
  <si>
    <t>DEFAULT_WEAPON</t>
  </si>
  <si>
    <t>int</t>
  </si>
  <si>
    <t>ATK_PIERCING_REDUCTION</t>
  </si>
  <si>
    <t>float</t>
  </si>
  <si>
    <t>SECONDS_PER_STAMINA</t>
  </si>
  <si>
    <t>MAX_STAMINA</t>
  </si>
  <si>
    <t>ENERGY_COST_TO_PLAY</t>
  </si>
  <si>
    <t>GEM_TO_REVIVED</t>
  </si>
  <si>
    <t>Example</t>
  </si>
  <si>
    <t>GEM_PER_ENERGY</t>
  </si>
  <si>
    <t>PA_RARITIES_RATE_0_6</t>
  </si>
  <si>
    <t>float-array</t>
  </si>
  <si>
    <t>40|36|24</t>
  </si>
  <si>
    <t>CONSTANT_1</t>
  </si>
  <si>
    <t>PA_RARITIES_RATE_7_10</t>
  </si>
  <si>
    <t>46|36|18</t>
  </si>
  <si>
    <t>CONSTANT_2</t>
  </si>
  <si>
    <t>PA_RARITIES_RATE_11_19</t>
  </si>
  <si>
    <t>52|36|12</t>
  </si>
  <si>
    <t>CONSTANT_3</t>
  </si>
  <si>
    <t>string</t>
  </si>
  <si>
    <t>PA_RARITIES_RATE_20</t>
  </si>
  <si>
    <t>58|36|8</t>
  </si>
  <si>
    <t>CONSTANT_4</t>
  </si>
  <si>
    <t>int-array</t>
  </si>
  <si>
    <t>PA_RARITIES_RATE_ENDLESS_MODE</t>
  </si>
  <si>
    <t>50|20|30</t>
  </si>
  <si>
    <t>CONSTANT_5</t>
  </si>
  <si>
    <t>string-array</t>
  </si>
  <si>
    <t>aa:ff:bb</t>
  </si>
  <si>
    <t>BOSS_RUSH_LEVEL_REQUIRED</t>
  </si>
  <si>
    <t>CONSTANT_6</t>
  </si>
  <si>
    <t>0:3:4:5</t>
  </si>
  <si>
    <t>LIMIT_ADS_IN_BATTLE</t>
  </si>
  <si>
    <t>CONSTANT_7</t>
  </si>
  <si>
    <t>5:1:1:3</t>
  </si>
  <si>
    <t>ENDLESS_MODE_EXP</t>
  </si>
  <si>
    <t>CONSTANT_8</t>
  </si>
  <si>
    <t>vector2</t>
  </si>
  <si>
    <t>1:2:3</t>
  </si>
  <si>
    <t>ENDLESS_MODE_COIN</t>
  </si>
  <si>
    <t>MAX_CRIT_CHANCE</t>
  </si>
  <si>
    <t>MAX_DOGE_CHANCE</t>
  </si>
  <si>
    <t>MAX_RARITY</t>
  </si>
  <si>
    <t>RARITY_LEGENDARY</t>
  </si>
  <si>
    <t>FUSION_COST</t>
  </si>
  <si>
    <t>DROPPED_COIN_BASE_VALUE</t>
  </si>
  <si>
    <t>EQUIPMENT_OVER_LEVEL</t>
  </si>
  <si>
    <t>LEVEL_REQUIRED_SHOP</t>
  </si>
  <si>
    <t>LEVEL_REQUIRED_EQUIPMENT</t>
  </si>
  <si>
    <t>LEVEL_REQUIRED_TALENT</t>
  </si>
  <si>
    <t>LEVEL_REQUIRED_TASK</t>
  </si>
  <si>
    <t>LEVEL_REQUIRED_ACTIVE_SKILL</t>
  </si>
  <si>
    <t>LANGUAGE_AR</t>
  </si>
  <si>
    <t>عربى</t>
  </si>
  <si>
    <t>LANGUAGE_DE</t>
  </si>
  <si>
    <t>DEUTSCHE</t>
  </si>
  <si>
    <t>LANGUAGE_EN</t>
  </si>
  <si>
    <t>ENGLISH</t>
  </si>
  <si>
    <t>LANGUAGE_ES</t>
  </si>
  <si>
    <t>ESPAÑOL</t>
  </si>
  <si>
    <t>LANGUAGE_FR</t>
  </si>
  <si>
    <t>FRANÇAIS</t>
  </si>
  <si>
    <t>LANGUAGE_ID</t>
  </si>
  <si>
    <t>BAHASA INDONESIA</t>
  </si>
  <si>
    <t>LANGUAGE_IT</t>
  </si>
  <si>
    <t>ITALIANO</t>
  </si>
  <si>
    <t>LANGUAGE_JP</t>
  </si>
  <si>
    <t>日本語</t>
  </si>
  <si>
    <t>LANGUAGE_KO</t>
  </si>
  <si>
    <t>대한민국 사람</t>
  </si>
  <si>
    <t>LANGUAGE_PT</t>
  </si>
  <si>
    <t>PORTUGUÊS</t>
  </si>
  <si>
    <t>LANGUAGE_RU</t>
  </si>
  <si>
    <t>РУССКИЙ</t>
  </si>
  <si>
    <t>LANGUAGE_TH</t>
  </si>
  <si>
    <t>ไทย</t>
  </si>
  <si>
    <t>LANGUAGE_TR</t>
  </si>
  <si>
    <t>TÜRK</t>
  </si>
  <si>
    <t>LANGUAGE_VI</t>
  </si>
  <si>
    <t>TIẾNG VIỆT</t>
  </si>
  <si>
    <t>LANGUAGE_HI</t>
  </si>
  <si>
    <t>हिन्दी</t>
  </si>
  <si>
    <t>LANGUAGE_FIL</t>
  </si>
  <si>
    <t>FILIPINO</t>
  </si>
  <si>
    <t>LANGUAGE_TC</t>
  </si>
  <si>
    <t>中国</t>
  </si>
  <si>
    <t>EVENT_ADS_CALLED</t>
  </si>
  <si>
    <t>ads_called</t>
  </si>
  <si>
    <t>param placement: string</t>
  </si>
  <si>
    <t>EVENT_ADS_SUCCEED</t>
  </si>
  <si>
    <t>ads_succeed</t>
  </si>
  <si>
    <t>EVENT_ADS_INT_SUCCEED</t>
  </si>
  <si>
    <t>ads_int_succeed</t>
  </si>
  <si>
    <t>EVENT_TUT_STARTED</t>
  </si>
  <si>
    <t>tut_started</t>
  </si>
  <si>
    <t>param tutorial id: string</t>
  </si>
  <si>
    <t>EVENT_TUT_FINISHED</t>
  </si>
  <si>
    <t>tut_finished</t>
  </si>
  <si>
    <t>EVENT_MAP_COMPLETED</t>
  </si>
  <si>
    <t>map_completed</t>
  </si>
  <si>
    <t>param map id: string</t>
  </si>
  <si>
    <t>EVENT_MAP_STARTED</t>
  </si>
  <si>
    <t>map_started</t>
  </si>
  <si>
    <t>EVENT_MAP_DEFEATED</t>
  </si>
  <si>
    <t>map_defeated</t>
  </si>
  <si>
    <t>EVENT_MAP_COMPLETED_FULL_STARS</t>
  </si>
  <si>
    <t>map_completed_full_stars</t>
  </si>
  <si>
    <t>EVENT_MAP_ENDLESS_STARTED</t>
  </si>
  <si>
    <t>map_endless_started</t>
  </si>
  <si>
    <t>EVENT_MAP_ENDLESS_DEFEATED</t>
  </si>
  <si>
    <t>map_endless_defeated</t>
  </si>
  <si>
    <t>param area id and wave index: string</t>
  </si>
  <si>
    <t>EVENT_MAP_ENDLESS_COMPLETED</t>
  </si>
  <si>
    <t>map_endless_completed</t>
  </si>
  <si>
    <t>param time</t>
  </si>
  <si>
    <t>EVENT_MAP_BOSSRUSH_STARTED</t>
  </si>
  <si>
    <t>map_bossrush_started</t>
  </si>
  <si>
    <t>EVENT_MAP_BOSSRUSH_DEFEATED</t>
  </si>
  <si>
    <t>map_bossrush_defeated</t>
  </si>
  <si>
    <t>EVENT_MAP_BOSSRUSH_COMPLETED</t>
  </si>
  <si>
    <t>map_bossrush_completed</t>
  </si>
  <si>
    <t>EVENT_PLAYER_DIE</t>
  </si>
  <si>
    <t>player_die</t>
  </si>
  <si>
    <t>EVENT_PLAYER_DIE_ENDLESS_MODE</t>
  </si>
  <si>
    <t>player_die_endless_mode</t>
  </si>
  <si>
    <t>EVENT_PLAYER_DIE_BOSSRUSH_MODE</t>
  </si>
  <si>
    <t>player_die_bossrush_mode</t>
  </si>
  <si>
    <t>EVENT_PLAYER_LEVEL_UP</t>
  </si>
  <si>
    <t>player_level_up</t>
  </si>
  <si>
    <t>param value: number</t>
  </si>
  <si>
    <t>EVENT_WEAPON_LEVEL_UP</t>
  </si>
  <si>
    <t>weapon_level_up</t>
  </si>
  <si>
    <t>param weapon name: string</t>
  </si>
  <si>
    <t>EVENT_WEAPON_RANK_UP</t>
  </si>
  <si>
    <t>weapon_rank_up</t>
  </si>
  <si>
    <t>EVENT_WEAPON_UNLOCK</t>
  </si>
  <si>
    <t>weapon_unlock</t>
  </si>
  <si>
    <t>EVENT_TALENT_LEVEL_UP</t>
  </si>
  <si>
    <t>talent_level_up</t>
  </si>
  <si>
    <t>EVENT_TALENT_RESET</t>
  </si>
  <si>
    <t>talent_reset</t>
  </si>
  <si>
    <t>EVENT_ACTIVE_SKILL_LEVEL_UP</t>
  </si>
  <si>
    <t>active_skill_level_up</t>
  </si>
  <si>
    <t>param skill name: string</t>
  </si>
  <si>
    <t>EVENT_CHEST_OPEN_NORMAL</t>
  </si>
  <si>
    <t>chest_open_normal</t>
  </si>
  <si>
    <t>EVENT_CHEST_OPEN_SPECIAL</t>
  </si>
  <si>
    <t>chest_open_special</t>
  </si>
  <si>
    <t>EVENT_CHEST_OPEN_SPECIAL_X</t>
  </si>
  <si>
    <t>chest_open_special_x</t>
  </si>
  <si>
    <t>EVENT_BUY_COIN_PACK</t>
  </si>
  <si>
    <t>buy_coin_pack</t>
  </si>
  <si>
    <t>param pack id: string</t>
  </si>
  <si>
    <t>EVENT_BUY_GEM_PACK</t>
  </si>
  <si>
    <t>buy_gem_pack</t>
  </si>
  <si>
    <t>EVENT_PAY_TO_REVIVE</t>
  </si>
  <si>
    <t>pay_to_revive</t>
  </si>
  <si>
    <t>EVENT_V_COIN</t>
  </si>
  <si>
    <t>v_coin</t>
  </si>
  <si>
    <t>param in/out value: number</t>
  </si>
  <si>
    <t>EVENT_G_COIN</t>
  </si>
  <si>
    <t>g_coin</t>
  </si>
  <si>
    <t>EVENT_DAY_0_2_V_COIN</t>
  </si>
  <si>
    <t>day_0_2_v_coin</t>
  </si>
  <si>
    <t>EVENT_DAY_0_2_G_COIN</t>
  </si>
  <si>
    <t>day_0_2_g_coin</t>
  </si>
  <si>
    <t>EVENT_DAY_0_2_PLAYER_LEVEL_UP</t>
  </si>
  <si>
    <t>day_0_2_player_level_up</t>
  </si>
  <si>
    <t>EVENT_DAY_0_2_WEAPON_LEVEL_UP</t>
  </si>
  <si>
    <t>day_0_2_weapon_level_up</t>
  </si>
  <si>
    <t>EVENT_SELECT_PASSIVE_ABILITY</t>
  </si>
  <si>
    <t>select_passive_ability</t>
  </si>
  <si>
    <t>param passive name: string</t>
  </si>
  <si>
    <t>EVENT_SELECT_ACTIVE_SKILL</t>
  </si>
  <si>
    <t>select_active_skill</t>
  </si>
  <si>
    <t>param active skill name: string</t>
  </si>
  <si>
    <t>EVENT_MAP_X_DEFEATED</t>
  </si>
  <si>
    <t>map_defeated_{0}</t>
  </si>
  <si>
    <t>param area id: string</t>
  </si>
  <si>
    <t>EVENT_MAP_X_COMPLETED</t>
  </si>
  <si>
    <t>map_completed_{0}</t>
  </si>
  <si>
    <t>EVENT_SHOW_INTERSTITIAL_ADS</t>
  </si>
  <si>
    <t>show_interstitial_ads</t>
  </si>
  <si>
    <t>param has_ads, internet_available, placement</t>
  </si>
  <si>
    <t>EVENT_SHOW_REWARDED_ADS</t>
  </si>
  <si>
    <t>show_rewarded_ads</t>
  </si>
  <si>
    <t>EVENT_UPLOAD_DATA</t>
  </si>
  <si>
    <t>upload_data</t>
  </si>
  <si>
    <t>EVENT_UPLOAD_DATA_SUCCESS</t>
  </si>
  <si>
    <t>upload_data_success</t>
  </si>
  <si>
    <t>EVENT_DOWNLOAD_DATA_SUCCESS</t>
  </si>
  <si>
    <t>download_data_success</t>
  </si>
  <si>
    <t>PROPERTY_PLAYER_LEVEL</t>
  </si>
  <si>
    <t>player_level</t>
  </si>
  <si>
    <t>EVENT_OPEN_LEADERBOARD</t>
  </si>
  <si>
    <t>open_leader_board</t>
  </si>
  <si>
    <t>EVENT_SKIP_ADS</t>
  </si>
  <si>
    <t>skip_ads</t>
  </si>
  <si>
    <t>param is placement</t>
  </si>
  <si>
    <t>EVENT_CLAIM_DAILY_TASK</t>
  </si>
  <si>
    <t>claim_daily_task</t>
  </si>
  <si>
    <t>EVENT_CLAIM_ACHIEVEMENT</t>
  </si>
  <si>
    <t>claim_achievement</t>
  </si>
  <si>
    <t>EVENT_RENEW_DAILY_TASK</t>
  </si>
  <si>
    <t>renew_daily_task</t>
  </si>
  <si>
    <t>EVENT_POPUP_RATE_SHOW</t>
  </si>
  <si>
    <t>popup_rate_show</t>
  </si>
  <si>
    <t>EVENT_SHOW_REVIEW_FAILED</t>
  </si>
  <si>
    <t>show_review_failed</t>
  </si>
  <si>
    <t>EVENT_SHOW_REVIEW_SUCCESSED</t>
  </si>
  <si>
    <t>show_review_successed</t>
  </si>
  <si>
    <t>PARAM_PLACEMENT</t>
  </si>
  <si>
    <t>placement</t>
  </si>
  <si>
    <t>PARAM_TUTORIAL_ID</t>
  </si>
  <si>
    <t>tutorial_id</t>
  </si>
  <si>
    <t>PARAM_MAP_ID</t>
  </si>
  <si>
    <t>map_id</t>
  </si>
  <si>
    <t>PARAM_LEVEL</t>
  </si>
  <si>
    <t>level</t>
  </si>
  <si>
    <t>PARAM_WEAPON_NAME</t>
  </si>
  <si>
    <t>weapon_name</t>
  </si>
  <si>
    <t>PARAM_SKILL_NAME</t>
  </si>
  <si>
    <t>skill_name</t>
  </si>
  <si>
    <t>PARAM_PACK_ID</t>
  </si>
  <si>
    <t>pack_id</t>
  </si>
  <si>
    <t>PARAM_VALUE</t>
  </si>
  <si>
    <t>value</t>
  </si>
  <si>
    <t>PARAM_IN</t>
  </si>
  <si>
    <t>value_in</t>
  </si>
  <si>
    <t>PARAM_OUT</t>
  </si>
  <si>
    <t>value_out</t>
  </si>
  <si>
    <t>PARAM_PASSIVE_NAME</t>
  </si>
  <si>
    <t>passive_name</t>
  </si>
  <si>
    <t>PARAM_AREA_ID</t>
  </si>
  <si>
    <t>area_id</t>
  </si>
  <si>
    <t>PARAM_TIME</t>
  </si>
  <si>
    <t>time</t>
  </si>
  <si>
    <t>PARAM_HAS_ADS</t>
  </si>
  <si>
    <t>has_ads</t>
  </si>
  <si>
    <t>PARAM_INTERNET_AVAILABLE</t>
  </si>
  <si>
    <t xml:space="preserve">internet_available </t>
  </si>
  <si>
    <t>EVENT_SKIN_HEAD</t>
  </si>
  <si>
    <t>skin_head</t>
  </si>
  <si>
    <t>EVENT_SKIN_BODY</t>
  </si>
  <si>
    <t>skin_body</t>
  </si>
  <si>
    <t>PARAM_ID</t>
  </si>
  <si>
    <t>id</t>
  </si>
  <si>
    <t>None</t>
  </si>
  <si>
    <t>Gun Slot</t>
  </si>
  <si>
    <t>Mod[enum]</t>
  </si>
  <si>
    <t>Reward Types</t>
  </si>
  <si>
    <t>Currency[enum]</t>
  </si>
  <si>
    <t>Rarity[enum]</t>
  </si>
  <si>
    <t>EquipmentSlot[enum]</t>
  </si>
  <si>
    <t>EquipmentType[enum]</t>
  </si>
  <si>
    <t>PerksGroup[enum]</t>
  </si>
  <si>
    <t>EnemyID[enum]</t>
  </si>
  <si>
    <t>TriggerType[enum]</t>
  </si>
  <si>
    <t>ASType[enum]</t>
  </si>
  <si>
    <t>EnemyType[enum]</t>
  </si>
  <si>
    <t>GM[enum]</t>
  </si>
  <si>
    <t>PA[enum]</t>
  </si>
  <si>
    <t>PA_Condition[enum]</t>
  </si>
  <si>
    <t>NONE</t>
  </si>
  <si>
    <t>SLOT_HANDGUN</t>
  </si>
  <si>
    <t>MOD_MAXIMUM_HP</t>
  </si>
  <si>
    <t>REWARD_CURRENCY</t>
  </si>
  <si>
    <t>CURRENCY_G_COIN</t>
  </si>
  <si>
    <t>RARITY_NONE</t>
  </si>
  <si>
    <t>EQUIP_SLOT_WEAPON</t>
  </si>
  <si>
    <t>ArmorHeavy</t>
  </si>
  <si>
    <t>P_INTRINSIC</t>
  </si>
  <si>
    <t>R_CREEP_BLUE</t>
  </si>
  <si>
    <t>trAuto</t>
  </si>
  <si>
    <t>AS_ATACK</t>
  </si>
  <si>
    <t>E_NORMAL</t>
  </si>
  <si>
    <t>GM_NONE</t>
  </si>
  <si>
    <t>PA_DMG_BOOST</t>
  </si>
  <si>
    <t>PAC_MINIMUM_LIFE_2</t>
  </si>
  <si>
    <t>SLOT_SHOTGUN</t>
  </si>
  <si>
    <t>MOD_MAXIMUM_HP_INC</t>
  </si>
  <si>
    <t>REWARD_EXP</t>
  </si>
  <si>
    <t>CURRENCY_V_COIN</t>
  </si>
  <si>
    <t>RARITY_COMMON</t>
  </si>
  <si>
    <t>ArmorMedium</t>
  </si>
  <si>
    <t>P_SIGHTS</t>
  </si>
  <si>
    <t>R_CREEP_PURPLE</t>
  </si>
  <si>
    <t>trByDeath</t>
  </si>
  <si>
    <t>AS_DEFENSE</t>
  </si>
  <si>
    <t>E_BOSS</t>
  </si>
  <si>
    <t>GM_ATTACK</t>
  </si>
  <si>
    <t>PA_CRIT_MASTER</t>
  </si>
  <si>
    <t>PAC_HALF_MAXMUM_LEVEL</t>
  </si>
  <si>
    <t>SLOT_CROSSBOW</t>
  </si>
  <si>
    <t>MOD_ATK</t>
  </si>
  <si>
    <t>REWARD_G_COIN_PACK</t>
  </si>
  <si>
    <t>CURRENCY_STAMINA</t>
  </si>
  <si>
    <t>RARITY_RARE</t>
  </si>
  <si>
    <t>ArmorLight</t>
  </si>
  <si>
    <t>P_MAGAZINES</t>
  </si>
  <si>
    <t>R_CREEP_RED</t>
  </si>
  <si>
    <t>trByKill</t>
  </si>
  <si>
    <t>AS_SUPPORT</t>
  </si>
  <si>
    <t>E_SENTRY</t>
  </si>
  <si>
    <t>GM_ATTACK_EFFECT</t>
  </si>
  <si>
    <t>PA_CORPSE_BLAST</t>
  </si>
  <si>
    <t>PAC_DISTANCE_BATTLE</t>
  </si>
  <si>
    <t>SLOT_SNIPER</t>
  </si>
  <si>
    <t>MOD_ATK_INC</t>
  </si>
  <si>
    <t>REWARD_CHEST</t>
  </si>
  <si>
    <t>CURRENCY_MONEY</t>
  </si>
  <si>
    <t>RARITY_EPIC</t>
  </si>
  <si>
    <t>WeaponHandgun</t>
  </si>
  <si>
    <t>P_STOCKS</t>
  </si>
  <si>
    <t>R_CREEP_GREY</t>
  </si>
  <si>
    <t>trByReloading</t>
  </si>
  <si>
    <t>GM_PROJECTILE</t>
  </si>
  <si>
    <t>PA_BULLSEYE_1</t>
  </si>
  <si>
    <t>PAC_CLOSE_BATTLE</t>
  </si>
  <si>
    <t>SLOT_MACHINEGUN</t>
  </si>
  <si>
    <t>MOD_KNOCKBACK</t>
  </si>
  <si>
    <t>CURRENCY_COMMON_PART</t>
  </si>
  <si>
    <t>RARITY_HEROIC</t>
  </si>
  <si>
    <t>WeaponAssaultRiffle</t>
  </si>
  <si>
    <t>P_TRAITS</t>
  </si>
  <si>
    <t>R_EMOK_MAGENTA</t>
  </si>
  <si>
    <t>trByFullReloading</t>
  </si>
  <si>
    <t>GM_PROJECTILE_EFFECT</t>
  </si>
  <si>
    <t>PA_BULLSEYE_2</t>
  </si>
  <si>
    <t>PAC_ACTIVE_SKILL</t>
  </si>
  <si>
    <t>SLOT_HEAVY</t>
  </si>
  <si>
    <t>MOD_KNOCKBACK_INC</t>
  </si>
  <si>
    <t>CURRENCY_RARE_PART</t>
  </si>
  <si>
    <t>WeaponShotgun</t>
  </si>
  <si>
    <t>R_EMOK_GREY</t>
  </si>
  <si>
    <t>trByActiveSkill</t>
  </si>
  <si>
    <t>GM_AMMO</t>
  </si>
  <si>
    <t>PA_BULLSEYE_3</t>
  </si>
  <si>
    <t>PAC_EVOL</t>
  </si>
  <si>
    <t>SLOT_LAUNCHER</t>
  </si>
  <si>
    <t>MOD_KNOCKBACK_RESISTANCE</t>
  </si>
  <si>
    <t>CURRENCY_EPIC_PART</t>
  </si>
  <si>
    <t>RARITY_RELIC</t>
  </si>
  <si>
    <t>WeaponSniperRifle</t>
  </si>
  <si>
    <t>R_EMOK_PURPLE</t>
  </si>
  <si>
    <t>trByFullCharge</t>
  </si>
  <si>
    <t>GM_CHARACTER</t>
  </si>
  <si>
    <t>PA_BULLSEYE_4</t>
  </si>
  <si>
    <t>SLOT_BOW</t>
  </si>
  <si>
    <t>MOD_KNOCKBACK_RESISTANCE_INC</t>
  </si>
  <si>
    <t>CURRENCY_HEROIC_PART</t>
  </si>
  <si>
    <t>WeaponLauncher</t>
  </si>
  <si>
    <t>R_ORB_BLUE</t>
  </si>
  <si>
    <t>PA_INVINCILITY</t>
  </si>
  <si>
    <t>MOD_ATTACK_RANGE</t>
  </si>
  <si>
    <t>CURRENCY_LEGENDARY_PART</t>
  </si>
  <si>
    <t>WeaponFlamethrower</t>
  </si>
  <si>
    <t>R_ORB_RED</t>
  </si>
  <si>
    <t>PA_GUARD</t>
  </si>
  <si>
    <t>MOD_ATTACK_RANGE_INC</t>
  </si>
  <si>
    <t>CURRENCY_RELIC_PART</t>
  </si>
  <si>
    <t>WeaponHeavygun</t>
  </si>
  <si>
    <t>R_ORB_ORANGE</t>
  </si>
  <si>
    <t>PA_DANCER</t>
  </si>
  <si>
    <t>MOD_CRIT_CHANCE</t>
  </si>
  <si>
    <t>R_ORB_GREY</t>
  </si>
  <si>
    <t>PA_FAST_LEVEL_UP</t>
  </si>
  <si>
    <t>MOD_CRIT_CHANCE_INC</t>
  </si>
  <si>
    <t>R_ROLLER_BLUE</t>
  </si>
  <si>
    <t>PA_MAG_DRILLS_1</t>
  </si>
  <si>
    <t>MOD_MOVE_SPEED</t>
  </si>
  <si>
    <t>R_ROLLER_GREEN</t>
  </si>
  <si>
    <t>PA_SKILL_CHARGER</t>
  </si>
  <si>
    <t>MOD_MOVE_SPEED_INC</t>
  </si>
  <si>
    <t>R_ROLLER_RED</t>
  </si>
  <si>
    <t>PA_AUTO_CHARGE</t>
  </si>
  <si>
    <t>MOD_PROJECTILE_SPEED</t>
  </si>
  <si>
    <t>R_ROLLER_GREY</t>
  </si>
  <si>
    <t>PA_PRO_STANCE_1</t>
  </si>
  <si>
    <t>MOD_PROJECTILE_SPEED_INC</t>
  </si>
  <si>
    <t>R_TANKER_BLUE</t>
  </si>
  <si>
    <t>PA_PRO_STANCE_2</t>
  </si>
  <si>
    <t>MOD_RELOAD_TIME</t>
  </si>
  <si>
    <t>R_TANKER_RED</t>
  </si>
  <si>
    <t>PA_PRO_STANCE_3</t>
  </si>
  <si>
    <t>MOD_RELOAD_TIME_INC</t>
  </si>
  <si>
    <t>R_TANKER_PURPLE</t>
  </si>
  <si>
    <t>PA_PRO_STANCE_4</t>
  </si>
  <si>
    <t>MOD_MAGAZINE</t>
  </si>
  <si>
    <t>R_TANKER_GREY</t>
  </si>
  <si>
    <t>PA_SELF_DESTRUCTION</t>
  </si>
  <si>
    <t>MOD_MAGAZINE_INC</t>
  </si>
  <si>
    <t>TOWER_SENTRY_BASIC</t>
  </si>
  <si>
    <t>PA_SPREAD_BULLET_1</t>
  </si>
  <si>
    <t>MOD_MAXIMUM_AMMO</t>
  </si>
  <si>
    <t>TOWER_SENTRY_FOCUS</t>
  </si>
  <si>
    <t>PA_SPREAD_BULLET_2</t>
  </si>
  <si>
    <t>MOD_MAXIMUM_AMMO_INC</t>
  </si>
  <si>
    <t>TOWER_SENTRY_LASER</t>
  </si>
  <si>
    <t>PA_SPREAD_BULLET_3</t>
  </si>
  <si>
    <t>MOD_FIRE_RATE</t>
  </si>
  <si>
    <t>R_TECH</t>
  </si>
  <si>
    <t>PA_RICOCHET_BULLET</t>
  </si>
  <si>
    <t>MOD_FIRE_RATE_INC</t>
  </si>
  <si>
    <t>R_HERMIT</t>
  </si>
  <si>
    <t>PA_RUNNER_1</t>
  </si>
  <si>
    <t>MOD_PIERCING</t>
  </si>
  <si>
    <t>R_BOXY</t>
  </si>
  <si>
    <t>PA_RUNNER_2</t>
  </si>
  <si>
    <t>MOD_CRIT_MULTIPLIER</t>
  </si>
  <si>
    <t>R_BLAST</t>
  </si>
  <si>
    <t>PA_STANDSTILL</t>
  </si>
  <si>
    <t>MOD_CRIT_MULTIPLIER_INC</t>
  </si>
  <si>
    <t>R_JELLYFISH</t>
  </si>
  <si>
    <t>PA_CORPSE_SHARD</t>
  </si>
  <si>
    <t>MOD_GUARD</t>
  </si>
  <si>
    <t>R_TENTACLES</t>
  </si>
  <si>
    <t>PA_PARALLEL_BULLET</t>
  </si>
  <si>
    <t>MOD_DODGE_CHANCE</t>
  </si>
  <si>
    <t>R_TECH_2</t>
  </si>
  <si>
    <t>PA_MULTI_SHOOT</t>
  </si>
  <si>
    <t>MOD_ACCURACY</t>
  </si>
  <si>
    <t>R_HERMIT_2</t>
  </si>
  <si>
    <t>PA_EMP_BULLET_1</t>
  </si>
  <si>
    <t>MOD_ACCURACY_INC</t>
  </si>
  <si>
    <t>PA_EMP_BULLET_2</t>
  </si>
  <si>
    <t>MOD_INVINCIBLE</t>
  </si>
  <si>
    <t>PA_EMP_BULLET_3</t>
  </si>
  <si>
    <t>MOD_INSTANT_RELOAD</t>
  </si>
  <si>
    <t>PA_EMP_BULLET_4</t>
  </si>
  <si>
    <t>MOD_LAND_MINE</t>
  </si>
  <si>
    <t>PA_SLOW_PROJECTILES</t>
  </si>
  <si>
    <t>MOD_BONUS_LIFE</t>
  </si>
  <si>
    <t>PA_RELOADER_1</t>
  </si>
  <si>
    <t>MOD_TIMER_INVINCIBLE</t>
  </si>
  <si>
    <t>PA_RELOADER_2</t>
  </si>
  <si>
    <t>MOD_INSTANT_KILL_CHANCE</t>
  </si>
  <si>
    <t>PA_RELOADER_3</t>
  </si>
  <si>
    <t>MOD_CORPSE_BLAST</t>
  </si>
  <si>
    <t>PA_RELOADER_4</t>
  </si>
  <si>
    <t>MOD_FAST_LEVEL_UP</t>
  </si>
  <si>
    <t>PA_SLOW_ENEMIES</t>
  </si>
  <si>
    <t>MOD_SKILL_CHARGE_TIME_INC</t>
  </si>
  <si>
    <t>PA_AUTOMATIC_TRIGGER</t>
  </si>
  <si>
    <t>MOD_AUTO_SKILL</t>
  </si>
  <si>
    <t>PA_SUPER_POWER</t>
  </si>
  <si>
    <t>MOD_SELF_DESTRUCTION</t>
  </si>
  <si>
    <t>PA_PIERCING_BULLET_1</t>
  </si>
  <si>
    <t>MOD_PROJECTILE_SPREAD</t>
  </si>
  <si>
    <t>PA_PIERCING_BULLET_2</t>
  </si>
  <si>
    <t>MOD_SKY_BEAM</t>
  </si>
  <si>
    <t>PA_RELOAD_X_ATTACK</t>
  </si>
  <si>
    <t>MOD_PROJECTILE_RICOCHET</t>
  </si>
  <si>
    <t>PA_RELOAD_X_AGILE</t>
  </si>
  <si>
    <t>MOD_GOD</t>
  </si>
  <si>
    <t>PA_RELOAD_X_INVINCIBLE</t>
  </si>
  <si>
    <t>MOD_STANDSTILL</t>
  </si>
  <si>
    <t>PA_HOMING_BULLET</t>
  </si>
  <si>
    <t>MOD_ATK_TOTAL_INC</t>
  </si>
  <si>
    <t>PA_MAG_DRILLS_2</t>
  </si>
  <si>
    <t>MOD_AOE_RADIUS</t>
  </si>
  <si>
    <t>PA_FULL_CHARGE_X_AGILE</t>
  </si>
  <si>
    <t>MOD_CORPSE_SHARD</t>
  </si>
  <si>
    <t>PA_FULL_CHARGE_X_ATTACK</t>
  </si>
  <si>
    <t>MOD_PROJECTILE_PARALLEL</t>
  </si>
  <si>
    <t>PA_FULL_CHARGE_X_INVINCIBLE</t>
  </si>
  <si>
    <t>MOD_ADDITIONAL_SHOOT</t>
  </si>
  <si>
    <t>PA_EXPLOSIVE_BULLET</t>
  </si>
  <si>
    <t>MOD_SLOW_PROJECTILES</t>
  </si>
  <si>
    <t>PA_EXO_BULLET</t>
  </si>
  <si>
    <t>MOD_INSTANT_RELOAD_CHANCE</t>
  </si>
  <si>
    <t>PA_GUARD_EPIC</t>
  </si>
  <si>
    <t>MOD_PARALYZE_CHANCE</t>
  </si>
  <si>
    <t>PA_DANCER_EPIC</t>
  </si>
  <si>
    <t>MOD_SLOW_ENEMIES</t>
  </si>
  <si>
    <t>PA_RUNNER_EPIC_1</t>
  </si>
  <si>
    <t>MOD_FAKE_DISPLAY</t>
  </si>
  <si>
    <t>PA_RUNNER_EPIC_2</t>
  </si>
  <si>
    <t>MOD_RELOAD_X_ATTACK</t>
  </si>
  <si>
    <t>PA_CORE_EXPLOSION</t>
  </si>
  <si>
    <t>MOD_RELOAD_X_AGILE</t>
  </si>
  <si>
    <t>PA_LAND_MINE</t>
  </si>
  <si>
    <t>MOD_RELOAD_X_INVINCIBLE</t>
  </si>
  <si>
    <t>PA_SKY_BEAM</t>
  </si>
  <si>
    <t>MOD_PARALYZED</t>
  </si>
  <si>
    <t>PA_MISSILE</t>
  </si>
  <si>
    <t>MOD_EPIC_BONUS_RATE</t>
  </si>
  <si>
    <t>PA_MOLOTOV</t>
  </si>
  <si>
    <t>MOD_MORE_EXP</t>
  </si>
  <si>
    <t>PA_AURA_FIRE</t>
  </si>
  <si>
    <t>MOD_MORE_GOLD</t>
  </si>
  <si>
    <t>PE_DRONE</t>
  </si>
  <si>
    <t>MOD_ATK_INC_MACHINEGUN</t>
  </si>
  <si>
    <t>PA_BOOMERANG</t>
  </si>
  <si>
    <t>MOD_ATK_INC_SHOTGUN</t>
  </si>
  <si>
    <t>PA_SWING_BLADE</t>
  </si>
  <si>
    <t>MOD_ATK_INC_SNIPER</t>
  </si>
  <si>
    <t>PE_BOUNCING_BALL</t>
  </si>
  <si>
    <t>MOD_ATK_INC_HANDGUN</t>
  </si>
  <si>
    <t>PA_LAND_MINE_EVOL</t>
  </si>
  <si>
    <t>MOD_MOVE_SPEED_INC_MACHINEGUN</t>
  </si>
  <si>
    <t>PA_SKY_BEAM_EVOL</t>
  </si>
  <si>
    <t>MOD_MOVE_SPEED_INC_SHOTGUN</t>
  </si>
  <si>
    <t>PA_MISSILE_EVOL</t>
  </si>
  <si>
    <t>MOD_MOVE_SPEED_INC_SNIPER</t>
  </si>
  <si>
    <t>PA_MOLOTOV_EVOL</t>
  </si>
  <si>
    <t>MOD_MOVE_SPEED_INC_HANDGUN</t>
  </si>
  <si>
    <t>PA_AURA_FIRE_EVOL</t>
  </si>
  <si>
    <t>MOD_ATK_INC_FULL_LIFE</t>
  </si>
  <si>
    <t>PE_DRONE_EVOL</t>
  </si>
  <si>
    <t>MOD_SKILL_CHARGE_TIME_INC_1_LIFE</t>
  </si>
  <si>
    <t>PA_BOOMERANG_EVOL</t>
  </si>
  <si>
    <t>MOD_FULL_CHARGE_X_AGILE</t>
  </si>
  <si>
    <t>PA_SWING_BLADE_EVOL</t>
  </si>
  <si>
    <t>MOD_FULL_CHARGE_X_ATTACK</t>
  </si>
  <si>
    <t>PE_BOUNCING_BALL_EVOL</t>
  </si>
  <si>
    <t>MOD_FULL_CHARGE_X_INVINCIBLE</t>
  </si>
  <si>
    <t>MOD_AUTO_CHARGE</t>
  </si>
  <si>
    <t>MOD_MOVING_ATTACK</t>
  </si>
  <si>
    <t>MOD_CORE_EXPLOSION</t>
  </si>
  <si>
    <t>MOD_SHARDED_PROJECTILE</t>
  </si>
  <si>
    <t>MOD_EXPLOSIVE_PROJECTILE</t>
  </si>
  <si>
    <t>MOD_AURA_FIRE</t>
  </si>
  <si>
    <t>MOD_MISSILE</t>
  </si>
  <si>
    <t>MOD_MOLOTOV</t>
  </si>
  <si>
    <t>MOD_DRONE</t>
  </si>
  <si>
    <t>MOD_BOOMERANG</t>
  </si>
  <si>
    <t>MOD_SWING_BLADE</t>
  </si>
  <si>
    <t>MOD_BOUCING_BALL</t>
  </si>
  <si>
    <t>MOD_HOMING_PROJECTILE</t>
  </si>
  <si>
    <t>MOD_EVOL_ATK_INC</t>
  </si>
  <si>
    <t>MOD_EVOL_ATK_RANGE_INC</t>
  </si>
  <si>
    <t>Sub Class</t>
  </si>
  <si>
    <t>Field Name</t>
  </si>
  <si>
    <t>economy</t>
  </si>
  <si>
    <t>startingCoins</t>
  </si>
  <si>
    <t>startingGems</t>
  </si>
  <si>
    <t>dailyRewardBase</t>
  </si>
  <si>
    <t>reviveCostCoins</t>
  </si>
  <si>
    <t>energyCap</t>
  </si>
  <si>
    <t>energyRechargeSec</t>
  </si>
  <si>
    <t>gameBalance</t>
  </si>
  <si>
    <t>basePlayerHp</t>
  </si>
  <si>
    <t>moveSpeed</t>
  </si>
  <si>
    <t>respawnDelaySec</t>
  </si>
  <si>
    <t>levelCap</t>
  </si>
  <si>
    <t>difficultyMultiplier[]</t>
  </si>
  <si>
    <t>1.0|1.2|1.5|2.0</t>
  </si>
  <si>
    <t>dropRates[]</t>
  </si>
  <si>
    <t>0.7|0.25|0.05</t>
  </si>
  <si>
    <t>feature</t>
  </si>
  <si>
    <t>maintenanceMode</t>
  </si>
  <si>
    <t>boolean</t>
  </si>
  <si>
    <t>minAppVersion</t>
  </si>
  <si>
    <t>1.2.0</t>
  </si>
  <si>
    <t>enableShop</t>
  </si>
  <si>
    <t>enablePvP</t>
  </si>
  <si>
    <t>interstitialIntervalSec</t>
  </si>
  <si>
    <t>rewardedAdPlacement</t>
  </si>
  <si>
    <t>Placement_DoubleReward</t>
  </si>
  <si>
    <t>position3</t>
  </si>
  <si>
    <t>vector3</t>
  </si>
  <si>
    <t>1|2|3</t>
  </si>
  <si>
    <t>position2</t>
  </si>
  <si>
    <t>1.0|2.0</t>
  </si>
  <si>
    <t>name</t>
  </si>
  <si>
    <t>hp</t>
  </si>
  <si>
    <t>lives</t>
  </si>
  <si>
    <t>atk</t>
  </si>
  <si>
    <t>dodgeChance</t>
  </si>
  <si>
    <t>knockbackResistance</t>
  </si>
  <si>
    <t>Soldier</t>
  </si>
  <si>
    <t>type</t>
  </si>
  <si>
    <t>prefabName</t>
  </si>
  <si>
    <t>spawnPt</t>
  </si>
  <si>
    <t>droppedCoin</t>
  </si>
  <si>
    <t>droppedGem</t>
  </si>
  <si>
    <t>droppedExp</t>
  </si>
  <si>
    <t>contactDmg</t>
  </si>
  <si>
    <t>hpMultiplier</t>
  </si>
  <si>
    <t>hpMultiplierInc</t>
  </si>
  <si>
    <t>Robot Creep Blue</t>
  </si>
  <si>
    <t>Robot_Creep_Blue</t>
  </si>
  <si>
    <t>Robot Creep Purple</t>
  </si>
  <si>
    <t>Robot_Creep_Purple</t>
  </si>
  <si>
    <t>Robot Creep Red</t>
  </si>
  <si>
    <t>Robot_Creep_Red</t>
  </si>
  <si>
    <t>Robot Creep Grey</t>
  </si>
  <si>
    <t>Robot_Creep_Grey_Boss</t>
  </si>
  <si>
    <t>Robot Emok Magenta</t>
  </si>
  <si>
    <t>Robot_Emok_Magenta</t>
  </si>
  <si>
    <t>Robot Emok Grey</t>
  </si>
  <si>
    <t>Robot_Emok_Grey_Boss</t>
  </si>
  <si>
    <t>Robot Emok Purple</t>
  </si>
  <si>
    <t>Robot_Emok_Purple</t>
  </si>
  <si>
    <t>Robot Orb Blue</t>
  </si>
  <si>
    <t>Robot_Orb_Blue</t>
  </si>
  <si>
    <t>Robot Orb Red</t>
  </si>
  <si>
    <t>Robot_Orb_Red</t>
  </si>
  <si>
    <t>Robot Orb Orange</t>
  </si>
  <si>
    <t>Robot_Orb_Orange</t>
  </si>
  <si>
    <t>Robot Orb Grey</t>
  </si>
  <si>
    <t>Robot_Orb_Grey_Boss</t>
  </si>
  <si>
    <t>Robot Roller Blue</t>
  </si>
  <si>
    <t>Robot_Roller_Blue</t>
  </si>
  <si>
    <t>Robot Roller Green</t>
  </si>
  <si>
    <t>Robot_Roller_Green</t>
  </si>
  <si>
    <t>Robot Roller Red</t>
  </si>
  <si>
    <t>Robot_Roller_Red</t>
  </si>
  <si>
    <t>Robot Roller Grey</t>
  </si>
  <si>
    <t>Robot_Roller_Grey_Boss</t>
  </si>
  <si>
    <t>Robot Tanker Blue</t>
  </si>
  <si>
    <t>Robot_Tanker_Blue</t>
  </si>
  <si>
    <t>Robot Tanker Red</t>
  </si>
  <si>
    <t>Robot_Tanker_Red</t>
  </si>
  <si>
    <t>Robot Tanker Purple</t>
  </si>
  <si>
    <t>Robot_Tanker_Purple</t>
  </si>
  <si>
    <t>Robot Tanker Grey</t>
  </si>
  <si>
    <t>Robot_Tanker_Grey_Boss</t>
  </si>
  <si>
    <t>Sentry Basic</t>
  </si>
  <si>
    <t>Sentry_Basic</t>
  </si>
  <si>
    <t>Sentry Focus</t>
  </si>
  <si>
    <t>Sentry_Focus</t>
  </si>
  <si>
    <t>Sentry Laser</t>
  </si>
  <si>
    <t>Sentry_Laser</t>
  </si>
  <si>
    <t>Robot Tech</t>
  </si>
  <si>
    <t>Robot_Tech_Boss</t>
  </si>
  <si>
    <t>Robot Hermit</t>
  </si>
  <si>
    <t>Robot_Hermit_Boss (Blast M)</t>
  </si>
  <si>
    <t>Robot Boxy</t>
  </si>
  <si>
    <t>Robot_Boxy_Boss (Boxy M)</t>
  </si>
  <si>
    <t>Robot Blast</t>
  </si>
  <si>
    <t>Robot_Blast_Boss (Blast L)</t>
  </si>
  <si>
    <t>Robot Jellyfish</t>
  </si>
  <si>
    <t>Robot_JellyFish (Tentacles M)</t>
  </si>
  <si>
    <t>Robot Tentacles</t>
  </si>
  <si>
    <t>Robot_Tentacles_Boss (Tentacles L)</t>
  </si>
  <si>
    <t>enemyId</t>
  </si>
  <si>
    <t>controller</t>
  </si>
  <si>
    <t>fireProjectile</t>
  </si>
  <si>
    <t>note[x]</t>
  </si>
  <si>
    <t>minHpCondition</t>
  </si>
  <si>
    <t>maxHpCondition</t>
  </si>
  <si>
    <t>atkRange</t>
  </si>
  <si>
    <t>atksPerSecond</t>
  </si>
  <si>
    <t>projectileSpeed</t>
  </si>
  <si>
    <t>reloadTime</t>
  </si>
  <si>
    <t>magazine</t>
  </si>
  <si>
    <t>projectileSpread</t>
  </si>
  <si>
    <t>aoeRadius</t>
  </si>
  <si>
    <t>MeleeBasicAttack</t>
  </si>
  <si>
    <t>MeleeDashAttack</t>
  </si>
  <si>
    <t>MeleeJumpAttack</t>
  </si>
  <si>
    <t>MeleeJumpMultiAttack_1</t>
  </si>
  <si>
    <t>MeleeJumpMultiAttack_2</t>
  </si>
  <si>
    <t>MeleeJumpMultiAttack_3</t>
  </si>
  <si>
    <t>MeleeDashMultiAttack_1</t>
  </si>
  <si>
    <t>MeleeDashMultiAttack_2</t>
  </si>
  <si>
    <t>MeleeDashMultiAttack_3</t>
  </si>
  <si>
    <t>BasicSummon_1</t>
  </si>
  <si>
    <t>BasicSummon_2</t>
  </si>
  <si>
    <t>BasicSummon_3</t>
  </si>
  <si>
    <t>RangedBasicAttack</t>
  </si>
  <si>
    <t>RangedBeamFocusAttack</t>
  </si>
  <si>
    <t>ProjectileSpreadAttack</t>
  </si>
  <si>
    <t>RangedBasicMixedProjectilesAttack_1</t>
  </si>
  <si>
    <t>RangedBasicMixedProjectilesAttack_2</t>
  </si>
  <si>
    <t>RangedBasicMixedProjectilesAttack_3</t>
  </si>
  <si>
    <t>RangedBeamFocusFanSpreadAttack_1</t>
  </si>
  <si>
    <t>RangedBeamFocusFanSpreadAttack_2</t>
  </si>
  <si>
    <t>RangedBeamFocusFanSpreadAttack_3</t>
  </si>
  <si>
    <t>InstantExplosionAttack_FinalPhase</t>
  </si>
  <si>
    <t>MeleeSpinAttack</t>
  </si>
  <si>
    <t>Melee Spin</t>
  </si>
  <si>
    <t>Melee Basic</t>
  </si>
  <si>
    <t>MeleeSpin</t>
  </si>
  <si>
    <t>MeleeBasic</t>
  </si>
  <si>
    <t>RangedBasicExt_ThrowMine_1</t>
  </si>
  <si>
    <t>Ranged Basic Ext + Throw Projectile</t>
  </si>
  <si>
    <t>RangedBasicExt_ThrowMine_2</t>
  </si>
  <si>
    <t>RangedSpin_Basic_1</t>
  </si>
  <si>
    <t>Ranged Spin + Basic</t>
  </si>
  <si>
    <t>RangedSpin_Basic_2</t>
  </si>
  <si>
    <t>RangedSpin_Basic_3</t>
  </si>
  <si>
    <t>RangedThrowTrajectory_Mine</t>
  </si>
  <si>
    <t>Ranged Throw + Throw Mine</t>
  </si>
  <si>
    <t>MeleeJump</t>
  </si>
  <si>
    <t>Melee Jump</t>
  </si>
  <si>
    <t>RangedBasicExtAttack</t>
  </si>
  <si>
    <t>Ranged Basic Ext + Basic Projectile</t>
  </si>
  <si>
    <t>Ranged Basic Ext + Spin Twins</t>
  </si>
  <si>
    <t>Ranged Basic Ext + Chain Twins</t>
  </si>
  <si>
    <t>RangedBasicMixedProjectiles_LSpinTwins_RChainTwins_1</t>
  </si>
  <si>
    <t>Ranged Basic + Spread + L Spin Twins</t>
  </si>
  <si>
    <t>RangedBasicMixedProjectiles_LSpinTwins_RChainTwins_2</t>
  </si>
  <si>
    <t>RangedBasicMixedProjectiles_LSpinTwins_RChainTwins_3</t>
  </si>
  <si>
    <t>RangedFocus_Basic_1</t>
  </si>
  <si>
    <t>Ranged Focus + Basic</t>
  </si>
  <si>
    <t>RangedFocus_Basic_2</t>
  </si>
  <si>
    <t>RangedFocus_Basic_3</t>
  </si>
  <si>
    <t>RangedSpin_LSpinTwins_RChainTwins_1</t>
  </si>
  <si>
    <t>Ranged Spin + L Spin Twins + R Chain Twins</t>
  </si>
  <si>
    <t>RangedSpin_LSpinTwins_RChainTwins_2</t>
  </si>
  <si>
    <t>RangedSpin_LSpinTwins_RChainTwins_3</t>
  </si>
  <si>
    <t>RangedBasic</t>
  </si>
  <si>
    <t>Ranged Basic + Basic</t>
  </si>
  <si>
    <t>RangedFocus_Basic</t>
  </si>
  <si>
    <t>RangedFocus_Beam</t>
  </si>
  <si>
    <t>Ranged Focus + Beam</t>
  </si>
  <si>
    <t>Melee basic attack</t>
  </si>
  <si>
    <t>RangedBasic_ContinuousExplosion</t>
  </si>
  <si>
    <t>Ranged basic attack + homing continous explosion projectile</t>
  </si>
  <si>
    <t>RangedBasic_HomingProjectile</t>
  </si>
  <si>
    <t>Ranged basic attack + homing projectiles</t>
  </si>
  <si>
    <t>RangedBasic_RainBombing</t>
  </si>
  <si>
    <t>Ranged basic attack + rain bombing projectiles</t>
  </si>
  <si>
    <t>RangedBasic_ContinuousExplosion_1</t>
  </si>
  <si>
    <t>Ranged basic attack + continous explosion projectile</t>
  </si>
  <si>
    <t>RangedBasic_ContinuousExplosion_2</t>
  </si>
  <si>
    <t>RangedBasic_ContinuousExplosion_3</t>
  </si>
  <si>
    <t>RangedBasic_HomingProjectile_1</t>
  </si>
  <si>
    <t>RangedBasic_HomingProjectile_2</t>
  </si>
  <si>
    <t>RangedBasic_HomingProjectile_3</t>
  </si>
  <si>
    <t>RangedBasic_RainBombing_1</t>
  </si>
  <si>
    <t>RangedBasic_RainBombing_2</t>
  </si>
  <si>
    <t>RangedBasic_RainBombing_3</t>
  </si>
  <si>
    <t>Ranged Focus + Basic Bullet</t>
  </si>
  <si>
    <t>Ranged Focus + Lazer Beam</t>
  </si>
  <si>
    <t>RangedBasicExt</t>
  </si>
  <si>
    <t>Ranged Basic + Basic Bullet</t>
  </si>
  <si>
    <t>RangedBasicExt_Spread</t>
  </si>
  <si>
    <t>Ranged Basic + Basic Bullet + Spread</t>
  </si>
  <si>
    <t>MeleeMoveAdvancedAttack</t>
  </si>
  <si>
    <t>Melee Advanced Spin Attack</t>
  </si>
  <si>
    <t>RangedBasicExt_1</t>
  </si>
  <si>
    <t>RangedBasicExt_2</t>
  </si>
  <si>
    <t>RangedBasicExt_Homing_1</t>
  </si>
  <si>
    <t>Ranged Basic Ext + Homing Projectile</t>
  </si>
  <si>
    <t>RangedBasicExt_Homing_2</t>
  </si>
  <si>
    <t>RangedBasicExt_3</t>
  </si>
  <si>
    <t>RangedBasicExt_Blast_1</t>
  </si>
  <si>
    <t>Ranged Basic Ext + Big Blast Projectile</t>
  </si>
  <si>
    <t>RangedBasicExt_Blast_2</t>
  </si>
  <si>
    <t>RangedBasicExt_Blast_3</t>
  </si>
  <si>
    <t>RangedBasicExt_SwingSaw_1</t>
  </si>
  <si>
    <t>Ranged Basic Ext + Swing Saw</t>
  </si>
  <si>
    <t>RangedBasicExt_SwingSaw_2</t>
  </si>
  <si>
    <t>RangedBasicExt_SwingSaw_3</t>
  </si>
  <si>
    <t>Ranged Basic Ext + Projectile Basic Swing Saw</t>
  </si>
  <si>
    <t>RangedBasicExt_Basic_SwingSaw_1</t>
  </si>
  <si>
    <t>Ranged Basic Ext + Swing Saw Basic</t>
  </si>
  <si>
    <t>RangedBasicExt_Basic_SwingSaw_2</t>
  </si>
  <si>
    <t>RangedBasicExt_Basic_SwingSaw_3</t>
  </si>
  <si>
    <t>RangedBasicExt_Swirl_SwingSaw_1</t>
  </si>
  <si>
    <t>Ranged Basic Ext + Swing Saw Swirl</t>
  </si>
  <si>
    <t>RangedBasicExt_Swirl_SwingSaw_2</t>
  </si>
  <si>
    <t>RangedBasicExt_Swirl_SwingSaw_3</t>
  </si>
  <si>
    <t>mod</t>
  </si>
  <si>
    <t>group</t>
  </si>
  <si>
    <t>positiveDescription</t>
  </si>
  <si>
    <t>positiveColor</t>
  </si>
  <si>
    <t>addSign</t>
  </si>
  <si>
    <t>Maximum HP {0}</t>
  </si>
  <si>
    <t>Maximum HP {0}%</t>
  </si>
  <si>
    <t>Attack {0}</t>
  </si>
  <si>
    <t>Attack {0}%</t>
  </si>
  <si>
    <t>Knockback {0}</t>
  </si>
  <si>
    <t>Knockback {0}%</t>
  </si>
  <si>
    <t>Base Knockback Resistance {0}%</t>
  </si>
  <si>
    <t>Knockback Resistance {0}%</t>
  </si>
  <si>
    <t>Attack Range {0}</t>
  </si>
  <si>
    <t>Attack Range {0}%</t>
  </si>
  <si>
    <t>Base Crit Chance {0}%</t>
  </si>
  <si>
    <t>Crit Chance {0}%</t>
  </si>
  <si>
    <t>Move Speed {0}</t>
  </si>
  <si>
    <t>Move Speed {0}%</t>
  </si>
  <si>
    <t>Bullet Speed {0}</t>
  </si>
  <si>
    <t>Bullet Speed {0}%</t>
  </si>
  <si>
    <t>Reload Time {0}</t>
  </si>
  <si>
    <t>Reload Time {0}%</t>
  </si>
  <si>
    <t>Magazine {0}</t>
  </si>
  <si>
    <t>Magazine {0}%</t>
  </si>
  <si>
    <t>Maximum Ammo {0}</t>
  </si>
  <si>
    <t>Maximum Ammo {0}%</t>
  </si>
  <si>
    <t>Fire Rate {0}</t>
  </si>
  <si>
    <t>Fire Rate {0}%</t>
  </si>
  <si>
    <t>Pierce through {0} target(s)</t>
  </si>
  <si>
    <t>Crit Multiplier {0}</t>
  </si>
  <si>
    <t>Crit Multiplier {0}%</t>
  </si>
  <si>
    <t>Shield {0}</t>
  </si>
  <si>
    <t>Base Dodge Chance {0}%</t>
  </si>
  <si>
    <t>Base Accuracy {0}%</t>
  </si>
  <si>
    <t>Accuracy {0}%</t>
  </si>
  <si>
    <t>Invincible</t>
  </si>
  <si>
    <t>Instant Reload</t>
  </si>
  <si>
    <t>Deploy a landmine every {2} seconds, dealing {1}% of base Atk, up to {0} mine(s)</t>
  </si>
  <si>
    <t>Battery {0}</t>
  </si>
  <si>
    <t>Invincible in {0} seconds, cooldown {1} seconds</t>
  </si>
  <si>
    <t>Instant Kill Chance {0}%</t>
  </si>
  <si>
    <t>Has {0}% Chance explode enemies body on kill, dealing {1}% of total Atk to enemies around</t>
  </si>
  <si>
    <t>Battle-EXP {0}%</t>
  </si>
  <si>
    <t>Skill Charge Time {0}%</t>
  </si>
  <si>
    <t>Auto Skill</t>
  </si>
  <si>
    <t>Auto trigger when a battery is broken, dealing massive damage in a wide radius.</t>
  </si>
  <si>
    <t>Spread bullet {0}</t>
  </si>
  <si>
    <t>Every {0} seconds, firing {1} sky-beam(s) to a random enemy, dealing {2}% of base Atk</t>
  </si>
  <si>
    <t>bullet rebound {0}</t>
  </si>
  <si>
    <t>God Mod {0}</t>
  </si>
  <si>
    <t>While not moving, every {1} seconds Atk +{0}%, maximum is {2}%</t>
  </si>
  <si>
    <t>Total Atk {0}%</t>
  </si>
  <si>
    <t>AOE Radius {0}</t>
  </si>
  <si>
    <t>Has {0}% chance of creating {2} projectiles on kill, dealing {1}%x{2} of total Atk</t>
  </si>
  <si>
    <t xml:space="preserve">Parallel bullets {0} </t>
  </si>
  <si>
    <t>Additional bullets {0}</t>
  </si>
  <si>
    <t>Enemy projectiles speed slower {0}%</t>
  </si>
  <si>
    <t>{0}% Chance to reload instantly</t>
  </si>
  <si>
    <t>Attack has {0}% chance to paralyze target in {1} second(s)</t>
  </si>
  <si>
    <t>Enemy movement speed slower {0}%</t>
  </si>
  <si>
    <t>Fake display</t>
  </si>
  <si>
    <t>Attack +{0}% in {1} second(s) after reloading</t>
  </si>
  <si>
    <t>Move Speed +{0}% and Dodge Chance +{1}% in {2} second(s) while reloading</t>
  </si>
  <si>
    <t>Invincible for {0} second(s) while reloading</t>
  </si>
  <si>
    <t>Paralyzed</t>
  </si>
  <si>
    <t>Chance to get Epic Ability {0}%</t>
  </si>
  <si>
    <t>Exp Earned {0}%</t>
  </si>
  <si>
    <t>Gold Earned {0}%</t>
  </si>
  <si>
    <t>Atk {0}% while using Shotgun</t>
  </si>
  <si>
    <t>Atk {0}% while using Sniper Rifle</t>
  </si>
  <si>
    <t>Atk {0}% while using Machinegun</t>
  </si>
  <si>
    <t>Atk {0}% while using Handgun</t>
  </si>
  <si>
    <t>Move Speed {0}% while using Shotgun</t>
  </si>
  <si>
    <t>Move Speed {0}% while using Sniper Rifle</t>
  </si>
  <si>
    <t>Move Speed {0}% while using Machine gun</t>
  </si>
  <si>
    <t>Move Speed {0}% while using Handgun</t>
  </si>
  <si>
    <t>Atk {0}% when no Battery is lost</t>
  </si>
  <si>
    <t>Skill charge time {0}% when 1 Battery left</t>
  </si>
  <si>
    <t>Move Speed {0}%, Dodge Chance {1}% when skill charge is full</t>
  </si>
  <si>
    <t>Atk {0}%, Fire Rate {1}% When skill charge is full</t>
  </si>
  <si>
    <t>Invincible in {0} seconds When skill charge is full</t>
  </si>
  <si>
    <t>Can charge skill by standing still</t>
  </si>
  <si>
    <t>When Battery or Guard broken, it creates explosion, dealing {0}% of total Atk, radius {1}%</t>
  </si>
  <si>
    <t>Damage enemies nearby, Radius {0}m, deal {1}% of base Atk per second</t>
  </si>
  <si>
    <t>Fire a missile, dealing {0}% of base Atk, explosion radius {1}m, cooldown {2}s</t>
  </si>
  <si>
    <t>Throw a molotov, deals {0}% Atk per second, radius {1}m, cooldown {2}s</t>
  </si>
  <si>
    <t>Summon a drone, fires projectle, dealing {0}% base Atk</t>
  </si>
  <si>
    <t>Throw a boomerang, deals {0}% base Atk, range {1}m, cooldown {2}s</t>
  </si>
  <si>
    <t>Summon {1} swing blades, deal {0}% base Atk, cooldown {3}s</t>
  </si>
  <si>
    <t>Shoot a ball, deals {0}% base Atk, cooldown {1}s</t>
  </si>
  <si>
    <t>Fire homing bullet</t>
  </si>
  <si>
    <t>Evol Ability Atk {0}%</t>
  </si>
  <si>
    <t>Evol Ability Attack Range {0}%</t>
  </si>
  <si>
    <t>visible</t>
  </si>
  <si>
    <t>equipSlot</t>
  </si>
  <si>
    <t>levelUnlock</t>
  </si>
  <si>
    <t>mapUnlock</t>
  </si>
  <si>
    <t>preUnlockCost</t>
  </si>
  <si>
    <t>attribute0</t>
  </si>
  <si>
    <t>value0</t>
  </si>
  <si>
    <t>attribute1</t>
  </si>
  <si>
    <t>value1</t>
  </si>
  <si>
    <t>attribute2</t>
  </si>
  <si>
    <t>value2</t>
  </si>
  <si>
    <t>attribute3</t>
  </si>
  <si>
    <t>value3</t>
  </si>
  <si>
    <t>attribute4</t>
  </si>
  <si>
    <t>value4</t>
  </si>
  <si>
    <t>attribute5</t>
  </si>
  <si>
    <t>value5</t>
  </si>
  <si>
    <t>attribute6</t>
  </si>
  <si>
    <t>value6</t>
  </si>
  <si>
    <t>attribute7</t>
  </si>
  <si>
    <t>value7</t>
  </si>
  <si>
    <t>attribute8</t>
  </si>
  <si>
    <t>value8</t>
  </si>
  <si>
    <t>attribute9</t>
  </si>
  <si>
    <t>value9</t>
  </si>
  <si>
    <t>attribute10</t>
  </si>
  <si>
    <t>value10</t>
  </si>
  <si>
    <t>[x] min atk</t>
  </si>
  <si>
    <t>[x] max atk</t>
  </si>
  <si>
    <t>Assault Rifle</t>
  </si>
  <si>
    <t>WP_Assault_Rifle</t>
  </si>
  <si>
    <t>Shotgun</t>
  </si>
  <si>
    <t>WP_Shotgun</t>
  </si>
  <si>
    <t>Sniper Rifle</t>
  </si>
  <si>
    <t>WP_Sniper_Rifle</t>
  </si>
  <si>
    <t>Handgun</t>
  </si>
  <si>
    <t>WP_Handgun</t>
  </si>
  <si>
    <t>Railgun</t>
  </si>
  <si>
    <t>WP_RailGun</t>
  </si>
  <si>
    <t>Electric Gun</t>
  </si>
  <si>
    <t>WP_ElectricGun</t>
  </si>
  <si>
    <t>rewardType</t>
  </si>
  <si>
    <t>rewardId</t>
  </si>
  <si>
    <t>rewardValue</t>
  </si>
  <si>
    <t>rate</t>
  </si>
  <si>
    <t>percent</t>
  </si>
  <si>
    <t>rewardTypes[]</t>
  </si>
  <si>
    <t>rewardIds[]</t>
  </si>
  <si>
    <t>rewardValues[]</t>
  </si>
  <si>
    <t>REWARD_G_COIN_PACK | REWARD_CURRENCY</t>
  </si>
  <si>
    <t>2 | CURRENCY_COMMON_PART</t>
  </si>
  <si>
    <t>5 | 1</t>
  </si>
  <si>
    <t>3 | CURRENCY_COMMON_PART</t>
  </si>
  <si>
    <t>4 | CURRENCY_COMMON_PART</t>
  </si>
  <si>
    <t>5 | CURRENCY_COMMON_PART</t>
  </si>
  <si>
    <t>6 | CURRENCY_COMMON_PART</t>
  </si>
  <si>
    <t>7 | CURRENCY_COMMON_PART</t>
  </si>
  <si>
    <t>8 | CURRENCY_COMMON_PART</t>
  </si>
  <si>
    <t>9 | CURRENCY_COMMON_PART</t>
  </si>
  <si>
    <t>REWARD_G_COIN_PACK | REWARD_CURRENCY | REWARD_CURRENCY</t>
  </si>
  <si>
    <t>10 | CURRENCY_COMMON_PART | CURRENCY_RARE_PART</t>
  </si>
  <si>
    <t>5 | 1 | 1</t>
  </si>
  <si>
    <t>11 | CURRENCY_COMMON_PART</t>
  </si>
  <si>
    <t>6.25 | 2</t>
  </si>
  <si>
    <t>12 | CURRENCY_COMMON_PART</t>
  </si>
  <si>
    <t>13 | CURRENCY_COMMON_PART</t>
  </si>
  <si>
    <t>14 | CURRENCY_COMMON_PART</t>
  </si>
  <si>
    <t>15 | CURRENCY_COMMON_PART | CURRENCY_RARE_PART</t>
  </si>
  <si>
    <t>6.25 | 2 | 1</t>
  </si>
  <si>
    <t>16 | CURRENCY_COMMON_PART</t>
  </si>
  <si>
    <t>17 | CURRENCY_COMMON_PART</t>
  </si>
  <si>
    <t>18 | CURRENCY_COMMON_PART</t>
  </si>
  <si>
    <t>19 | CURRENCY_COMMON_PART</t>
  </si>
  <si>
    <t>REWARD_G_COIN_PACK | REWARD_CURRENCY | REWARD_CURRENCY | REWARD_CURRENCY</t>
  </si>
  <si>
    <t>20 | CURRENCY_COMMON_PART | CURRENCY_RARE_PART | CURRENCY_EPIC_PART</t>
  </si>
  <si>
    <t>6.25 | 2 | 2 | 1</t>
  </si>
  <si>
    <t>21 | CURRENCY_COMMON_PART</t>
  </si>
  <si>
    <t>7.5 | 3</t>
  </si>
  <si>
    <t>22 | CURRENCY_COMMON_PART</t>
  </si>
  <si>
    <t>23 | CURRENCY_COMMON_PART</t>
  </si>
  <si>
    <t>24 | CURRENCY_COMMON_PART</t>
  </si>
  <si>
    <t>25 | CURRENCY_COMMON_PART  | CURRENCY_RARE_PART</t>
  </si>
  <si>
    <t>7.5 | 3 | 1</t>
  </si>
  <si>
    <t>26 | CURRENCY_COMMON_PART</t>
  </si>
  <si>
    <t>27 | CURRENCY_COMMON_PART</t>
  </si>
  <si>
    <t>28 | CURRENCY_COMMON_PART</t>
  </si>
  <si>
    <t>29 | CURRENCY_COMMON_PART</t>
  </si>
  <si>
    <t>30 | CURRENCY_COMMON_PART | CURRENCY_RARE_PART | CURRENCY_EPIC_PART</t>
  </si>
  <si>
    <t>7.5 | 3 | 3 | 1</t>
  </si>
  <si>
    <t>31 | CURRENCY_COMMON_PART</t>
  </si>
  <si>
    <t>8.75 | 4</t>
  </si>
  <si>
    <t>32 | CURRENCY_COMMON_PART</t>
  </si>
  <si>
    <t>33 | CURRENCY_COMMON_PART</t>
  </si>
  <si>
    <t>34 | CURRENCY_COMMON_PART</t>
  </si>
  <si>
    <t>35 | CURRENCY_COMMON_PART | CURRENCY_RARE_PART</t>
  </si>
  <si>
    <t>8.75 | 4 | 2</t>
  </si>
  <si>
    <t>36 | CURRENCY_COMMON_PART</t>
  </si>
  <si>
    <t>37 | CURRENCY_COMMON_PART</t>
  </si>
  <si>
    <t>38 | CURRENCY_COMMON_PART</t>
  </si>
  <si>
    <t>39 | CURRENCY_COMMON_PART</t>
  </si>
  <si>
    <t>40 | CURRENCY_COMMON_PART | CURRENCY_RARE_PART | CURRENCY_EPIC_PART</t>
  </si>
  <si>
    <t>8.75 | 4 | 4 | 2</t>
  </si>
  <si>
    <t>41 | CURRENCY_COMMON_PART</t>
  </si>
  <si>
    <t>10 | 5</t>
  </si>
  <si>
    <t>42 | CURRENCY_COMMON_PART</t>
  </si>
  <si>
    <t>43 | CURRENCY_COMMON_PART</t>
  </si>
  <si>
    <t>44 | CURRENCY_COMMON_PART</t>
  </si>
  <si>
    <t>45 | CURRENCY_COMMON_PART | CURRENCY_RARE_PART</t>
  </si>
  <si>
    <t>10 | 5 | 2</t>
  </si>
  <si>
    <t>46 | CURRENCY_COMMON_PART</t>
  </si>
  <si>
    <t>47 | CURRENCY_COMMON_PART</t>
  </si>
  <si>
    <t>48 | CURRENCY_COMMON_PART</t>
  </si>
  <si>
    <t>49 | CURRENCY_COMMON_PART</t>
  </si>
  <si>
    <t>50 | CURRENCY_COMMON_PART | CURRENCY_RARE_PART | CURRENCY_EPIC_PART</t>
  </si>
  <si>
    <t>10 | 5 | 5 | 2</t>
  </si>
  <si>
    <t>51 | CURRENCY_COMMON_PART</t>
  </si>
  <si>
    <t>11.25 | 6</t>
  </si>
  <si>
    <t>52 | CURRENCY_COMMON_PART</t>
  </si>
  <si>
    <t>53 | CURRENCY_COMMON_PART</t>
  </si>
  <si>
    <t>54 | CURRENCY_COMMON_PART</t>
  </si>
  <si>
    <t>55 | CURRENCY_COMMON_PART | CURRENCY_RARE_PART</t>
  </si>
  <si>
    <t>11.25 | 6 | 3</t>
  </si>
  <si>
    <t>56 | CURRENCY_COMMON_PART</t>
  </si>
  <si>
    <t>57 | CURRENCY_COMMON_PART</t>
  </si>
  <si>
    <t>58 | CURRENCY_COMMON_PART</t>
  </si>
  <si>
    <t>59 | CURRENCY_COMMON_PART</t>
  </si>
  <si>
    <t>60 | CURRENCY_COMMON_PART | CURRENCY_RARE_PART | CURRENCY_EPIC_PART</t>
  </si>
  <si>
    <t>11.25 | 6 | 6 | 3</t>
  </si>
  <si>
    <t>61 | CURRENCY_COMMON_PART</t>
  </si>
  <si>
    <t>12.5 | 7</t>
  </si>
  <si>
    <t>62 | CURRENCY_COMMON_PART</t>
  </si>
  <si>
    <t>63 | CURRENCY_COMMON_PART</t>
  </si>
  <si>
    <t>64 | CURRENCY_COMMON_PART</t>
  </si>
  <si>
    <t>65 | CURRENCY_COMMON_PART | CURRENCY_RARE_PART</t>
  </si>
  <si>
    <t>12.5 | 7 | 3</t>
  </si>
  <si>
    <t>66 | CURRENCY_COMMON_PART</t>
  </si>
  <si>
    <t>67 | CURRENCY_COMMON_PART</t>
  </si>
  <si>
    <t>68 | CURRENCY_COMMON_PART</t>
  </si>
  <si>
    <t>69 | CURRENCY_COMMON_PART</t>
  </si>
  <si>
    <t>70 | CURRENCY_COMMON_PART | CURRENCY_RARE_PART | CURRENCY_EPIC_PART</t>
  </si>
  <si>
    <t>12.5 | 7 | 7 |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</si>
</sst>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8">
    <font>
      <sz val="11"/>
      <color rgb="FF000000"/>
      <name val="Calibri"/>
      <charset val="1"/>
    </font>
    <font>
      <sz val="11"/>
      <color rgb="FF006100"/>
      <name val="Calibri"/>
      <charset val="134"/>
    </font>
    <font>
      <sz val="11"/>
      <color rgb="FF9C5700"/>
      <name val="Calibri"/>
      <charset val="134"/>
    </font>
    <font>
      <sz val="11"/>
      <name val="Calibri"/>
      <charset val="134"/>
    </font>
    <font>
      <sz val="11"/>
      <color rgb="FF9C0006"/>
      <name val="Calibri"/>
      <charset val="134"/>
    </font>
    <font>
      <strike/>
      <sz val="11"/>
      <color rgb="FF000000"/>
      <name val="Calibri"/>
      <charset val="134"/>
    </font>
    <font>
      <sz val="11"/>
      <color rgb="FF000000"/>
      <name val="Calibri"/>
      <charset val="134"/>
    </font>
    <font>
      <strike/>
      <sz val="11"/>
      <color rgb="FF9C0006"/>
      <name val="Calibri"/>
      <charset val="134"/>
    </font>
    <font>
      <sz val="11"/>
      <color rgb="FFFF0000"/>
      <name val="Calibri"/>
      <charset val="134"/>
    </font>
    <font>
      <sz val="11"/>
      <color theme="0"/>
      <name val="Calibri"/>
      <charset val="134"/>
      <scheme val="minor"/>
    </font>
    <font>
      <sz val="11"/>
      <color rgb="FF4472C4"/>
      <name val="Calibri"/>
      <charset val="134"/>
    </font>
    <font>
      <sz val="11"/>
      <color rgb="FF0070C0"/>
      <name val="Calibri"/>
      <charset val="134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11111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ahoma"/>
      <charset val="134"/>
    </font>
    <font>
      <sz val="9"/>
      <color rgb="FF000000"/>
      <name val="Tahoma"/>
      <charset val="134"/>
    </font>
    <font>
      <b/>
      <sz val="9"/>
      <name val="Tahoma"/>
      <charset val="134"/>
    </font>
  </fonts>
  <fills count="56">
    <fill>
      <patternFill patternType="none"/>
    </fill>
    <fill>
      <patternFill patternType="gray125"/>
    </fill>
    <fill>
      <patternFill patternType="solid">
        <fgColor rgb="FFFFF2CC"/>
        <bgColor rgb="FFFFF5CE"/>
      </patternFill>
    </fill>
    <fill>
      <patternFill patternType="solid">
        <fgColor rgb="FFDEEBF7"/>
        <bgColor rgb="FFDDDDDD"/>
      </patternFill>
    </fill>
    <fill>
      <patternFill patternType="solid">
        <fgColor rgb="FFC6EFCE"/>
        <bgColor rgb="FFC5E0B4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BE5D6"/>
      </patternFill>
    </fill>
    <fill>
      <patternFill patternType="solid">
        <fgColor rgb="FF669900"/>
        <bgColor rgb="FF339966"/>
      </patternFill>
    </fill>
    <fill>
      <patternFill patternType="solid">
        <fgColor rgb="FFFF9999"/>
        <bgColor rgb="FFFF7C80"/>
      </patternFill>
    </fill>
    <fill>
      <patternFill patternType="solid">
        <fgColor rgb="FFFF66FF"/>
        <bgColor rgb="FFFF7C80"/>
      </patternFill>
    </fill>
    <fill>
      <patternFill patternType="solid">
        <fgColor rgb="FF66CCFF"/>
        <bgColor rgb="FF33CCCC"/>
      </patternFill>
    </fill>
    <fill>
      <patternFill patternType="solid">
        <fgColor rgb="FF9999FF"/>
        <bgColor rgb="FF66CC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339966"/>
      </patternFill>
    </fill>
    <fill>
      <patternFill patternType="solid">
        <fgColor rgb="FFFFC000"/>
        <bgColor rgb="FFFF9900"/>
      </patternFill>
    </fill>
    <fill>
      <patternFill patternType="solid">
        <fgColor theme="1"/>
        <bgColor indexed="64"/>
      </patternFill>
    </fill>
    <fill>
      <patternFill patternType="solid">
        <fgColor rgb="FFFF7C80"/>
        <bgColor rgb="FFFF9999"/>
      </patternFill>
    </fill>
    <fill>
      <patternFill patternType="solid">
        <fgColor rgb="FFDDDDDD"/>
        <bgColor rgb="FFD9D9D9"/>
      </patternFill>
    </fill>
    <fill>
      <patternFill patternType="solid">
        <fgColor rgb="FFD9D9D9"/>
        <bgColor rgb="FFDDDDDD"/>
      </patternFill>
    </fill>
    <fill>
      <patternFill patternType="solid">
        <fgColor rgb="FFFBE5D6"/>
        <bgColor rgb="FFFFF2CC"/>
      </patternFill>
    </fill>
    <fill>
      <patternFill patternType="solid">
        <fgColor theme="1" tint="0.5"/>
        <bgColor indexed="64"/>
      </patternFill>
    </fill>
    <fill>
      <patternFill patternType="solid">
        <fgColor rgb="FFC5E0B4"/>
        <bgColor rgb="FFC6EFCE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77BC65"/>
        <bgColor rgb="FF99CC00"/>
      </patternFill>
    </fill>
    <fill>
      <patternFill patternType="solid">
        <fgColor rgb="FFFFF5CE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25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5" fillId="27" borderId="16" applyNumberFormat="0" applyAlignment="0" applyProtection="0">
      <alignment vertical="center"/>
    </xf>
    <xf numFmtId="0" fontId="26" fillId="27" borderId="15" applyNumberFormat="0" applyAlignment="0" applyProtection="0">
      <alignment vertical="center"/>
    </xf>
    <xf numFmtId="0" fontId="27" fillId="28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3" fillId="55" borderId="0" applyNumberFormat="0" applyBorder="0" applyAlignment="0" applyProtection="0">
      <alignment vertical="center"/>
    </xf>
    <xf numFmtId="0" fontId="4" fillId="6" borderId="0" applyBorder="0" applyProtection="0"/>
    <xf numFmtId="0" fontId="1" fillId="4" borderId="0" applyBorder="0" applyProtection="0"/>
    <xf numFmtId="0" fontId="2" fillId="5" borderId="0" applyBorder="0" applyProtection="0"/>
  </cellStyleXfs>
  <cellXfs count="15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4" borderId="0" xfId="50" applyBorder="1" applyProtection="1"/>
    <xf numFmtId="0" fontId="2" fillId="5" borderId="0" xfId="51" applyBorder="1" applyProtection="1"/>
    <xf numFmtId="0" fontId="3" fillId="0" borderId="0" xfId="0" applyFont="1"/>
    <xf numFmtId="0" fontId="3" fillId="0" borderId="11" xfId="0" applyFont="1" applyBorder="1"/>
    <xf numFmtId="0" fontId="1" fillId="4" borderId="11" xfId="50" applyBorder="1" applyProtection="1"/>
    <xf numFmtId="0" fontId="4" fillId="6" borderId="11" xfId="49" applyBorder="1" applyProtection="1"/>
    <xf numFmtId="0" fontId="2" fillId="5" borderId="11" xfId="51" applyBorder="1"/>
    <xf numFmtId="0" fontId="2" fillId="5" borderId="11" xfId="51" applyBorder="1" applyProtection="1"/>
    <xf numFmtId="0" fontId="5" fillId="0" borderId="0" xfId="0" applyFont="1"/>
    <xf numFmtId="0" fontId="6" fillId="0" borderId="0" xfId="0" applyFont="1"/>
    <xf numFmtId="49" fontId="0" fillId="0" borderId="0" xfId="0" applyNumberFormat="1"/>
    <xf numFmtId="0" fontId="0" fillId="0" borderId="11" xfId="0" applyBorder="1"/>
    <xf numFmtId="49" fontId="0" fillId="0" borderId="11" xfId="0" applyNumberFormat="1" applyBorder="1"/>
    <xf numFmtId="0" fontId="0" fillId="7" borderId="11" xfId="0" applyFill="1" applyBorder="1"/>
    <xf numFmtId="0" fontId="0" fillId="8" borderId="11" xfId="0" applyFill="1" applyBorder="1"/>
    <xf numFmtId="0" fontId="5" fillId="8" borderId="11" xfId="0" applyFont="1" applyFill="1" applyBorder="1"/>
    <xf numFmtId="49" fontId="5" fillId="0" borderId="11" xfId="0" applyNumberFormat="1" applyFont="1" applyBorder="1"/>
    <xf numFmtId="0" fontId="5" fillId="0" borderId="11" xfId="0" applyFont="1" applyBorder="1"/>
    <xf numFmtId="0" fontId="5" fillId="7" borderId="11" xfId="0" applyFont="1" applyFill="1" applyBorder="1"/>
    <xf numFmtId="0" fontId="0" fillId="9" borderId="11" xfId="0" applyFill="1" applyBorder="1"/>
    <xf numFmtId="0" fontId="5" fillId="10" borderId="11" xfId="0" applyFont="1" applyFill="1" applyBorder="1"/>
    <xf numFmtId="0" fontId="0" fillId="10" borderId="11" xfId="0" applyFill="1" applyBorder="1"/>
    <xf numFmtId="0" fontId="0" fillId="11" borderId="11" xfId="0" applyFill="1" applyBorder="1"/>
    <xf numFmtId="0" fontId="6" fillId="12" borderId="11" xfId="0" applyFont="1" applyFill="1" applyBorder="1"/>
    <xf numFmtId="0" fontId="0" fillId="13" borderId="11" xfId="0" applyFill="1" applyBorder="1"/>
    <xf numFmtId="0" fontId="6" fillId="0" borderId="11" xfId="0" applyFont="1" applyBorder="1"/>
    <xf numFmtId="49" fontId="6" fillId="0" borderId="11" xfId="0" applyNumberFormat="1" applyFont="1" applyBorder="1"/>
    <xf numFmtId="0" fontId="0" fillId="14" borderId="11" xfId="0" applyFill="1" applyBorder="1"/>
    <xf numFmtId="0" fontId="4" fillId="0" borderId="11" xfId="0" applyFont="1" applyBorder="1"/>
    <xf numFmtId="49" fontId="7" fillId="6" borderId="11" xfId="49" applyNumberFormat="1" applyFont="1" applyBorder="1" applyProtection="1"/>
    <xf numFmtId="0" fontId="6" fillId="0" borderId="11" xfId="0" applyFont="1" applyBorder="1" applyAlignment="1">
      <alignment wrapText="1"/>
    </xf>
    <xf numFmtId="0" fontId="8" fillId="0" borderId="11" xfId="0" applyFont="1" applyBorder="1"/>
    <xf numFmtId="0" fontId="9" fillId="15" borderId="11" xfId="23" applyFont="1" applyFill="1" applyBorder="1" applyAlignment="1"/>
    <xf numFmtId="0" fontId="0" fillId="10" borderId="0" xfId="0" applyFill="1"/>
    <xf numFmtId="0" fontId="0" fillId="11" borderId="0" xfId="0" applyFill="1"/>
    <xf numFmtId="0" fontId="0" fillId="16" borderId="0" xfId="0" applyFill="1"/>
    <xf numFmtId="0" fontId="0" fillId="17" borderId="0" xfId="0" applyFill="1"/>
    <xf numFmtId="0" fontId="0" fillId="14" borderId="0" xfId="0" applyFill="1"/>
    <xf numFmtId="0" fontId="8" fillId="17" borderId="0" xfId="0" applyFont="1" applyFill="1"/>
    <xf numFmtId="0" fontId="0" fillId="9" borderId="0" xfId="0" applyFill="1"/>
    <xf numFmtId="0" fontId="0" fillId="7" borderId="0" xfId="0" applyFill="1"/>
    <xf numFmtId="0" fontId="0" fillId="18" borderId="0" xfId="0" applyFill="1"/>
    <xf numFmtId="0" fontId="10" fillId="19" borderId="0" xfId="0" applyFont="1" applyFill="1"/>
    <xf numFmtId="0" fontId="10" fillId="2" borderId="0" xfId="0" applyFont="1" applyFill="1"/>
    <xf numFmtId="0" fontId="10" fillId="0" borderId="0" xfId="0" applyFont="1"/>
    <xf numFmtId="0" fontId="0" fillId="17" borderId="0" xfId="0" applyFill="1" applyAlignment="1">
      <alignment horizontal="left" vertical="center"/>
    </xf>
    <xf numFmtId="0" fontId="3" fillId="17" borderId="0" xfId="0" applyFont="1" applyFill="1"/>
    <xf numFmtId="0" fontId="0" fillId="9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10" fillId="19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10" borderId="2" xfId="50" applyFont="1" applyFill="1" applyBorder="1" applyProtection="1"/>
    <xf numFmtId="0" fontId="3" fillId="11" borderId="0" xfId="50" applyFont="1" applyFill="1" applyBorder="1" applyProtection="1"/>
    <xf numFmtId="0" fontId="3" fillId="8" borderId="0" xfId="50" applyFont="1" applyFill="1" applyBorder="1" applyProtection="1"/>
    <xf numFmtId="0" fontId="11" fillId="17" borderId="7" xfId="50" applyFont="1" applyFill="1" applyBorder="1" applyProtection="1"/>
    <xf numFmtId="0" fontId="3" fillId="9" borderId="2" xfId="50" applyFont="1" applyFill="1" applyBorder="1" applyProtection="1"/>
    <xf numFmtId="0" fontId="11" fillId="17" borderId="0" xfId="50" applyFont="1" applyFill="1" applyBorder="1" applyProtection="1"/>
    <xf numFmtId="0" fontId="3" fillId="11" borderId="7" xfId="50" applyFont="1" applyFill="1" applyBorder="1" applyProtection="1"/>
    <xf numFmtId="0" fontId="3" fillId="14" borderId="0" xfId="50" applyFont="1" applyFill="1" applyBorder="1" applyProtection="1"/>
    <xf numFmtId="0" fontId="3" fillId="7" borderId="0" xfId="50" applyFont="1" applyFill="1" applyBorder="1" applyProtection="1"/>
    <xf numFmtId="0" fontId="11" fillId="17" borderId="7" xfId="0" applyFont="1" applyFill="1" applyBorder="1"/>
    <xf numFmtId="0" fontId="3" fillId="10" borderId="2" xfId="0" applyFont="1" applyFill="1" applyBorder="1"/>
    <xf numFmtId="0" fontId="3" fillId="8" borderId="0" xfId="0" applyFont="1" applyFill="1"/>
    <xf numFmtId="0" fontId="3" fillId="9" borderId="7" xfId="0" applyFont="1" applyFill="1" applyBorder="1"/>
    <xf numFmtId="0" fontId="11" fillId="18" borderId="0" xfId="0" applyFont="1" applyFill="1"/>
    <xf numFmtId="0" fontId="11" fillId="0" borderId="0" xfId="0" applyFont="1"/>
    <xf numFmtId="0" fontId="3" fillId="10" borderId="1" xfId="50" applyFont="1" applyFill="1" applyBorder="1" applyProtection="1"/>
    <xf numFmtId="2" fontId="3" fillId="10" borderId="2" xfId="50" applyNumberFormat="1" applyFont="1" applyFill="1" applyBorder="1" applyProtection="1"/>
    <xf numFmtId="0" fontId="3" fillId="11" borderId="4" xfId="50" applyFont="1" applyFill="1" applyBorder="1" applyProtection="1"/>
    <xf numFmtId="2" fontId="3" fillId="11" borderId="0" xfId="50" applyNumberFormat="1" applyFont="1" applyFill="1" applyBorder="1" applyProtection="1"/>
    <xf numFmtId="0" fontId="3" fillId="8" borderId="4" xfId="50" applyFont="1" applyFill="1" applyBorder="1" applyProtection="1"/>
    <xf numFmtId="2" fontId="3" fillId="8" borderId="0" xfId="50" applyNumberFormat="1" applyFont="1" applyFill="1" applyBorder="1" applyProtection="1"/>
    <xf numFmtId="0" fontId="11" fillId="17" borderId="6" xfId="50" applyFont="1" applyFill="1" applyBorder="1" applyProtection="1"/>
    <xf numFmtId="3" fontId="10" fillId="0" borderId="0" xfId="0" applyNumberFormat="1" applyFont="1"/>
    <xf numFmtId="2" fontId="11" fillId="17" borderId="7" xfId="50" applyNumberFormat="1" applyFont="1" applyFill="1" applyBorder="1" applyProtection="1"/>
    <xf numFmtId="0" fontId="3" fillId="9" borderId="1" xfId="50" applyFont="1" applyFill="1" applyBorder="1" applyProtection="1"/>
    <xf numFmtId="2" fontId="3" fillId="9" borderId="2" xfId="50" applyNumberFormat="1" applyFont="1" applyFill="1" applyBorder="1" applyProtection="1"/>
    <xf numFmtId="0" fontId="11" fillId="17" borderId="4" xfId="50" applyFont="1" applyFill="1" applyBorder="1" applyProtection="1"/>
    <xf numFmtId="2" fontId="11" fillId="17" borderId="0" xfId="50" applyNumberFormat="1" applyFont="1" applyFill="1" applyBorder="1" applyProtection="1"/>
    <xf numFmtId="0" fontId="3" fillId="11" borderId="6" xfId="50" applyFont="1" applyFill="1" applyBorder="1" applyProtection="1"/>
    <xf numFmtId="2" fontId="3" fillId="11" borderId="7" xfId="50" applyNumberFormat="1" applyFont="1" applyFill="1" applyBorder="1" applyProtection="1"/>
    <xf numFmtId="0" fontId="3" fillId="14" borderId="4" xfId="50" applyFont="1" applyFill="1" applyBorder="1" applyProtection="1"/>
    <xf numFmtId="2" fontId="3" fillId="14" borderId="0" xfId="50" applyNumberFormat="1" applyFont="1" applyFill="1" applyBorder="1" applyProtection="1"/>
    <xf numFmtId="0" fontId="3" fillId="7" borderId="4" xfId="50" applyFont="1" applyFill="1" applyBorder="1" applyProtection="1"/>
    <xf numFmtId="2" fontId="3" fillId="7" borderId="0" xfId="50" applyNumberFormat="1" applyFont="1" applyFill="1" applyBorder="1" applyProtection="1"/>
    <xf numFmtId="0" fontId="11" fillId="17" borderId="6" xfId="0" applyFont="1" applyFill="1" applyBorder="1"/>
    <xf numFmtId="2" fontId="11" fillId="17" borderId="7" xfId="0" applyNumberFormat="1" applyFont="1" applyFill="1" applyBorder="1"/>
    <xf numFmtId="0" fontId="3" fillId="10" borderId="1" xfId="0" applyFont="1" applyFill="1" applyBorder="1"/>
    <xf numFmtId="2" fontId="3" fillId="10" borderId="2" xfId="0" applyNumberFormat="1" applyFont="1" applyFill="1" applyBorder="1"/>
    <xf numFmtId="0" fontId="3" fillId="8" borderId="4" xfId="0" applyFont="1" applyFill="1" applyBorder="1"/>
    <xf numFmtId="2" fontId="3" fillId="8" borderId="0" xfId="0" applyNumberFormat="1" applyFont="1" applyFill="1"/>
    <xf numFmtId="0" fontId="3" fillId="9" borderId="6" xfId="0" applyFont="1" applyFill="1" applyBorder="1"/>
    <xf numFmtId="0" fontId="3" fillId="9" borderId="7" xfId="50" applyFont="1" applyFill="1" applyBorder="1" applyProtection="1"/>
    <xf numFmtId="2" fontId="3" fillId="9" borderId="7" xfId="0" applyNumberFormat="1" applyFont="1" applyFill="1" applyBorder="1"/>
    <xf numFmtId="0" fontId="11" fillId="18" borderId="0" xfId="50" applyFont="1" applyFill="1" applyBorder="1" applyProtection="1"/>
    <xf numFmtId="2" fontId="11" fillId="18" borderId="0" xfId="0" applyNumberFormat="1" applyFont="1" applyFill="1"/>
    <xf numFmtId="0" fontId="3" fillId="0" borderId="0" xfId="50" applyFont="1" applyFill="1" applyBorder="1" applyProtection="1"/>
    <xf numFmtId="3" fontId="3" fillId="0" borderId="0" xfId="0" applyNumberFormat="1" applyFont="1"/>
    <xf numFmtId="0" fontId="0" fillId="0" borderId="0" xfId="0" applyAlignment="1">
      <alignment horizontal="center"/>
    </xf>
    <xf numFmtId="0" fontId="12" fillId="0" borderId="0" xfId="0" applyFont="1" applyFill="1" applyAlignment="1"/>
    <xf numFmtId="0" fontId="0" fillId="20" borderId="0" xfId="0" applyFill="1"/>
    <xf numFmtId="0" fontId="3" fillId="21" borderId="11" xfId="50" applyFont="1" applyFill="1" applyBorder="1" applyProtection="1"/>
    <xf numFmtId="0" fontId="0" fillId="8" borderId="0" xfId="0" applyFill="1"/>
    <xf numFmtId="0" fontId="11" fillId="21" borderId="11" xfId="0" applyFont="1" applyFill="1" applyBorder="1"/>
    <xf numFmtId="0" fontId="5" fillId="8" borderId="0" xfId="0" applyFont="1" applyFill="1"/>
    <xf numFmtId="0" fontId="11" fillId="21" borderId="11" xfId="50" applyFont="1" applyFill="1" applyBorder="1" applyProtection="1"/>
    <xf numFmtId="0" fontId="5" fillId="7" borderId="0" xfId="0" applyFont="1" applyFill="1"/>
    <xf numFmtId="0" fontId="4" fillId="6" borderId="0" xfId="49" applyBorder="1" applyProtection="1"/>
    <xf numFmtId="0" fontId="3" fillId="21" borderId="11" xfId="0" applyFont="1" applyFill="1" applyBorder="1"/>
    <xf numFmtId="0" fontId="10" fillId="21" borderId="11" xfId="50" applyFont="1" applyFill="1" applyBorder="1" applyProtection="1"/>
    <xf numFmtId="0" fontId="0" fillId="21" borderId="11" xfId="0" applyFill="1" applyBorder="1"/>
    <xf numFmtId="0" fontId="5" fillId="10" borderId="0" xfId="0" applyFont="1" applyFill="1"/>
    <xf numFmtId="0" fontId="10" fillId="21" borderId="11" xfId="0" applyFont="1" applyFill="1" applyBorder="1"/>
    <xf numFmtId="0" fontId="11" fillId="0" borderId="11" xfId="0" applyFont="1" applyBorder="1"/>
    <xf numFmtId="0" fontId="10" fillId="0" borderId="11" xfId="0" applyFont="1" applyBorder="1"/>
    <xf numFmtId="0" fontId="0" fillId="22" borderId="11" xfId="0" applyFill="1" applyBorder="1"/>
    <xf numFmtId="0" fontId="13" fillId="22" borderId="11" xfId="0" applyFont="1" applyFill="1" applyBorder="1"/>
    <xf numFmtId="0" fontId="12" fillId="22" borderId="11" xfId="0" applyFont="1" applyFill="1" applyBorder="1"/>
    <xf numFmtId="0" fontId="3" fillId="5" borderId="0" xfId="51" applyFont="1" applyBorder="1" applyProtection="1"/>
    <xf numFmtId="0" fontId="14" fillId="23" borderId="0" xfId="50" applyFont="1" applyFill="1" applyBorder="1" applyProtection="1"/>
    <xf numFmtId="0" fontId="14" fillId="23" borderId="0" xfId="51" applyFont="1" applyFill="1" applyBorder="1" applyProtection="1"/>
    <xf numFmtId="0" fontId="14" fillId="24" borderId="0" xfId="0" applyFont="1" applyFill="1"/>
    <xf numFmtId="0" fontId="14" fillId="24" borderId="0" xfId="51" applyFont="1" applyFill="1" applyBorder="1" applyProtection="1"/>
    <xf numFmtId="0" fontId="14" fillId="24" borderId="0" xfId="51" applyFont="1" applyFill="1" applyProtection="1"/>
    <xf numFmtId="0" fontId="14" fillId="0" borderId="0" xfId="51" applyFont="1" applyFill="1" applyBorder="1" applyProtection="1"/>
    <xf numFmtId="0" fontId="0" fillId="24" borderId="0" xfId="0" applyFill="1"/>
    <xf numFmtId="0" fontId="0" fillId="24" borderId="0" xfId="0" applyFill="1" applyAlignment="1">
      <alignment wrapText="1"/>
    </xf>
    <xf numFmtId="0" fontId="8" fillId="5" borderId="0" xfId="51" applyFont="1" applyBorder="1" applyAlignment="1" applyProtection="1">
      <alignment horizontal="center"/>
    </xf>
    <xf numFmtId="0" fontId="0" fillId="0" borderId="0" xfId="0" applyFill="1" applyBorder="1"/>
    <xf numFmtId="0" fontId="0" fillId="0" borderId="11" xfId="0" applyFill="1" applyBorder="1"/>
    <xf numFmtId="0" fontId="4" fillId="0" borderId="0" xfId="49" applyFill="1" applyBorder="1" applyProtection="1"/>
    <xf numFmtId="0" fontId="2" fillId="0" borderId="11" xfId="51" applyFill="1" applyBorder="1" applyProtection="1"/>
    <xf numFmtId="0" fontId="0" fillId="0" borderId="7" xfId="0" applyFill="1" applyBorder="1"/>
    <xf numFmtId="0" fontId="15" fillId="0" borderId="11" xfId="0" applyFont="1" applyFill="1" applyBorder="1" applyAlignment="1">
      <alignment wrapText="1"/>
    </xf>
    <xf numFmtId="0" fontId="6" fillId="0" borderId="11" xfId="0" applyFont="1" applyFill="1" applyBorder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Bad" xfId="49"/>
    <cellStyle name="Excel Built-in Good" xfId="50"/>
    <cellStyle name="Excel Built-in Neutral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669900"/>
      <rgbColor rgb="00800080"/>
      <rgbColor rgb="00008080"/>
      <rgbColor rgb="00C5E0B4"/>
      <rgbColor rgb="00808080"/>
      <rgbColor rgb="009999FF"/>
      <rgbColor rgb="00993366"/>
      <rgbColor rgb="00FFF5CE"/>
      <rgbColor rgb="00DEEBF7"/>
      <rgbColor rgb="00660066"/>
      <rgbColor rgb="00FF7C80"/>
      <rgbColor rgb="000070C0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6EFCE"/>
      <rgbColor rgb="00FFEB9C"/>
      <rgbColor rgb="0066CCFF"/>
      <rgbColor rgb="00FF9999"/>
      <rgbColor rgb="00FF66FF"/>
      <rgbColor rgb="00FFC7CE"/>
      <rgbColor rgb="004472C4"/>
      <rgbColor rgb="0033CCCC"/>
      <rgbColor rgb="0099CC00"/>
      <rgbColor rgb="00FFC000"/>
      <rgbColor rgb="00FF9900"/>
      <rgbColor rgb="00FF6600"/>
      <rgbColor rgb="00666699"/>
      <rgbColor rgb="0077BC65"/>
      <rgbColor rgb="00003366"/>
      <rgbColor rgb="00339966"/>
      <rgbColor rgb="00111111"/>
      <rgbColor rgb="00333300"/>
      <rgbColor rgb="009C57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workbookViewId="0">
      <selection activeCell="L9" sqref="L9:N16"/>
    </sheetView>
  </sheetViews>
  <sheetFormatPr defaultColWidth="8.71428571428571" defaultRowHeight="15"/>
  <cols>
    <col min="1" max="1" width="33.2857142857143" customWidth="1"/>
    <col min="2" max="2" width="10.2857142857143" customWidth="1"/>
    <col min="3" max="3" width="21.7142857142857" customWidth="1"/>
    <col min="4" max="4" width="10.1428571428571" customWidth="1"/>
    <col min="8" max="8" width="13" customWidth="1"/>
    <col min="9" max="9" width="10.1428571428571" customWidth="1"/>
    <col min="10" max="10" width="6.85714285714286" customWidth="1"/>
    <col min="12" max="12" width="12.7142857142857" customWidth="1"/>
    <col min="13" max="13" width="11.1428571428571" customWidth="1"/>
    <col min="14" max="14" width="7.85714285714286" customWidth="1"/>
  </cols>
  <sheetData>
    <row r="1" spans="1:14">
      <c r="A1" s="24" t="s">
        <v>0</v>
      </c>
      <c r="B1" s="24" t="s">
        <v>1</v>
      </c>
      <c r="C1" s="24" t="s">
        <v>2</v>
      </c>
    </row>
    <row r="2" spans="1:14">
      <c r="A2" s="24" t="s">
        <v>3</v>
      </c>
      <c r="B2" s="24" t="s">
        <v>4</v>
      </c>
      <c r="C2" s="24">
        <v>1</v>
      </c>
    </row>
    <row r="3" spans="1:14">
      <c r="A3" s="24" t="s">
        <v>5</v>
      </c>
      <c r="B3" s="24" t="s">
        <v>6</v>
      </c>
      <c r="C3" s="24">
        <v>0.2</v>
      </c>
    </row>
    <row r="4" spans="1:14">
      <c r="A4" s="24" t="s">
        <v>7</v>
      </c>
      <c r="B4" s="24" t="s">
        <v>4</v>
      </c>
      <c r="C4" s="24">
        <v>600</v>
      </c>
    </row>
    <row r="5" spans="1:14">
      <c r="A5" s="24" t="s">
        <v>8</v>
      </c>
      <c r="B5" s="24" t="s">
        <v>4</v>
      </c>
      <c r="C5" s="24">
        <v>25</v>
      </c>
    </row>
    <row r="6" spans="1:14">
      <c r="A6" s="24" t="s">
        <v>9</v>
      </c>
      <c r="B6" s="24" t="s">
        <v>4</v>
      </c>
      <c r="C6" s="24">
        <v>5</v>
      </c>
    </row>
    <row r="7" spans="1:14">
      <c r="A7" s="24" t="s">
        <v>10</v>
      </c>
      <c r="B7" s="24" t="s">
        <v>4</v>
      </c>
      <c r="C7" s="24">
        <v>16</v>
      </c>
      <c r="L7" s="147" t="s">
        <v>11</v>
      </c>
      <c r="M7" s="147"/>
      <c r="N7" s="147"/>
    </row>
    <row r="8" spans="1:14">
      <c r="A8" s="24" t="s">
        <v>12</v>
      </c>
      <c r="B8" s="24" t="s">
        <v>6</v>
      </c>
      <c r="C8" s="24">
        <v>2</v>
      </c>
      <c r="L8" s="147"/>
      <c r="M8" s="147"/>
      <c r="N8" s="147"/>
    </row>
    <row r="9" spans="1:14">
      <c r="A9" s="24" t="s">
        <v>13</v>
      </c>
      <c r="B9" s="24" t="s">
        <v>14</v>
      </c>
      <c r="C9" s="24" t="s">
        <v>15</v>
      </c>
      <c r="L9" t="s">
        <v>16</v>
      </c>
      <c r="M9" t="s">
        <v>4</v>
      </c>
      <c r="N9">
        <v>12</v>
      </c>
    </row>
    <row r="10" spans="1:14">
      <c r="A10" s="24" t="s">
        <v>17</v>
      </c>
      <c r="B10" s="24" t="s">
        <v>14</v>
      </c>
      <c r="C10" s="24" t="s">
        <v>18</v>
      </c>
      <c r="L10" t="s">
        <v>19</v>
      </c>
      <c r="M10" t="s">
        <v>6</v>
      </c>
      <c r="N10">
        <v>0.1</v>
      </c>
    </row>
    <row r="11" spans="1:14">
      <c r="A11" s="24" t="s">
        <v>20</v>
      </c>
      <c r="B11" s="24" t="s">
        <v>14</v>
      </c>
      <c r="C11" s="24" t="s">
        <v>21</v>
      </c>
      <c r="L11" t="s">
        <v>22</v>
      </c>
      <c r="M11" t="s">
        <v>23</v>
      </c>
      <c r="N11">
        <v>3</v>
      </c>
    </row>
    <row r="12" spans="1:14">
      <c r="A12" s="24" t="s">
        <v>24</v>
      </c>
      <c r="B12" s="24" t="s">
        <v>14</v>
      </c>
      <c r="C12" s="24" t="s">
        <v>25</v>
      </c>
      <c r="L12" t="s">
        <v>26</v>
      </c>
      <c r="M12" t="s">
        <v>27</v>
      </c>
      <c r="N12">
        <v>4</v>
      </c>
    </row>
    <row r="13" spans="1:14">
      <c r="A13" s="24" t="s">
        <v>28</v>
      </c>
      <c r="B13" s="24" t="s">
        <v>14</v>
      </c>
      <c r="C13" s="24" t="s">
        <v>29</v>
      </c>
      <c r="L13" t="s">
        <v>30</v>
      </c>
      <c r="M13" t="s">
        <v>31</v>
      </c>
      <c r="N13" t="s">
        <v>32</v>
      </c>
    </row>
    <row r="14" spans="1:14">
      <c r="A14" s="24" t="s">
        <v>33</v>
      </c>
      <c r="B14" s="24" t="s">
        <v>4</v>
      </c>
      <c r="C14" s="24">
        <v>20</v>
      </c>
      <c r="L14" t="s">
        <v>34</v>
      </c>
      <c r="M14" t="s">
        <v>27</v>
      </c>
      <c r="N14" t="s">
        <v>35</v>
      </c>
    </row>
    <row r="15" spans="1:14">
      <c r="A15" s="24" t="s">
        <v>36</v>
      </c>
      <c r="B15" s="24" t="s">
        <v>4</v>
      </c>
      <c r="C15" s="24">
        <v>6</v>
      </c>
      <c r="L15" t="s">
        <v>37</v>
      </c>
      <c r="M15" t="s">
        <v>14</v>
      </c>
      <c r="N15" t="s">
        <v>38</v>
      </c>
    </row>
    <row r="16" spans="1:14">
      <c r="A16" s="24" t="s">
        <v>39</v>
      </c>
      <c r="B16" s="24" t="s">
        <v>6</v>
      </c>
      <c r="C16" s="24">
        <v>0.5</v>
      </c>
      <c r="L16" t="s">
        <v>40</v>
      </c>
      <c r="M16" t="s">
        <v>41</v>
      </c>
      <c r="N16" t="s">
        <v>42</v>
      </c>
    </row>
    <row r="17" spans="1:16">
      <c r="A17" s="24" t="s">
        <v>43</v>
      </c>
      <c r="B17" s="24" t="s">
        <v>6</v>
      </c>
      <c r="C17" s="24">
        <v>1</v>
      </c>
    </row>
    <row r="18" spans="1:16">
      <c r="K18" s="148"/>
      <c r="L18" s="148"/>
      <c r="M18" s="148"/>
      <c r="N18" s="148"/>
      <c r="O18" s="148"/>
      <c r="P18" s="148"/>
    </row>
    <row r="19" spans="1:16">
      <c r="A19" s="149" t="s">
        <v>44</v>
      </c>
      <c r="B19" s="149" t="s">
        <v>4</v>
      </c>
      <c r="C19" s="149">
        <v>100</v>
      </c>
      <c r="K19" s="148"/>
      <c r="L19" s="148"/>
      <c r="M19" s="148"/>
      <c r="N19" s="148"/>
      <c r="O19" s="148"/>
      <c r="P19" s="148"/>
    </row>
    <row r="20" spans="1:16">
      <c r="A20" s="149" t="s">
        <v>45</v>
      </c>
      <c r="B20" s="149" t="s">
        <v>4</v>
      </c>
      <c r="C20" s="149">
        <v>100</v>
      </c>
      <c r="K20" s="148"/>
      <c r="L20" s="148"/>
      <c r="M20" s="148"/>
      <c r="N20" s="148"/>
      <c r="O20" s="148"/>
      <c r="P20" s="148"/>
    </row>
    <row r="21" spans="1:16">
      <c r="A21" s="149" t="s">
        <v>46</v>
      </c>
      <c r="B21" s="149" t="s">
        <v>4</v>
      </c>
      <c r="C21" s="149" t="s">
        <v>47</v>
      </c>
      <c r="K21" s="148"/>
      <c r="L21" s="150"/>
      <c r="M21" s="150"/>
      <c r="N21" s="150"/>
      <c r="O21" s="148"/>
      <c r="P21" s="148"/>
    </row>
    <row r="22" spans="1:16">
      <c r="A22" s="149" t="s">
        <v>48</v>
      </c>
      <c r="B22" s="149" t="s">
        <v>4</v>
      </c>
      <c r="C22" s="149">
        <v>5</v>
      </c>
      <c r="K22" s="148"/>
      <c r="L22" s="150"/>
      <c r="M22" s="150"/>
      <c r="N22" s="150"/>
      <c r="O22" s="148"/>
      <c r="P22" s="148"/>
    </row>
    <row r="23" spans="1:16">
      <c r="A23" s="149" t="s">
        <v>49</v>
      </c>
      <c r="B23" s="149" t="s">
        <v>4</v>
      </c>
      <c r="C23" s="149">
        <v>10</v>
      </c>
      <c r="K23" s="148"/>
      <c r="L23" s="150"/>
      <c r="M23" s="150"/>
      <c r="N23" s="150"/>
      <c r="O23" s="148"/>
      <c r="P23" s="148"/>
    </row>
    <row r="24" spans="1:16">
      <c r="A24" s="149" t="s">
        <v>50</v>
      </c>
      <c r="B24" s="149" t="s">
        <v>4</v>
      </c>
      <c r="C24" s="149">
        <v>5</v>
      </c>
      <c r="K24" s="148"/>
      <c r="L24" s="150"/>
      <c r="M24" s="150"/>
      <c r="N24" s="150"/>
      <c r="O24" s="148"/>
      <c r="P24" s="148"/>
    </row>
    <row r="25" spans="1:16">
      <c r="A25" s="151" t="s">
        <v>51</v>
      </c>
      <c r="B25" s="151" t="s">
        <v>4</v>
      </c>
      <c r="C25" s="151">
        <v>2</v>
      </c>
      <c r="K25" s="148"/>
      <c r="L25" s="150"/>
      <c r="M25" s="150"/>
      <c r="N25" s="150"/>
      <c r="O25" s="148"/>
      <c r="P25" s="148"/>
    </row>
    <row r="26" spans="1:16">
      <c r="A26" s="151" t="s">
        <v>52</v>
      </c>
      <c r="B26" s="151" t="s">
        <v>4</v>
      </c>
      <c r="C26" s="151">
        <v>2</v>
      </c>
      <c r="K26" s="148"/>
      <c r="L26" s="150"/>
      <c r="M26" s="150"/>
      <c r="N26" s="150"/>
      <c r="O26" s="148"/>
      <c r="P26" s="148"/>
    </row>
    <row r="27" spans="1:16">
      <c r="A27" s="151" t="s">
        <v>53</v>
      </c>
      <c r="B27" s="151" t="s">
        <v>4</v>
      </c>
      <c r="C27" s="151">
        <v>2</v>
      </c>
      <c r="K27" s="148"/>
      <c r="L27" s="150"/>
      <c r="M27" s="150"/>
      <c r="N27" s="150"/>
      <c r="O27" s="148"/>
      <c r="P27" s="148"/>
    </row>
    <row r="28" spans="1:16">
      <c r="A28" s="151" t="s">
        <v>54</v>
      </c>
      <c r="B28" s="151" t="s">
        <v>4</v>
      </c>
      <c r="C28" s="151">
        <v>2</v>
      </c>
      <c r="K28" s="148"/>
      <c r="L28" s="150"/>
      <c r="M28" s="150"/>
      <c r="N28" s="150"/>
      <c r="O28" s="148"/>
      <c r="P28" s="148"/>
    </row>
    <row r="29" spans="1:16">
      <c r="A29" s="151" t="s">
        <v>55</v>
      </c>
      <c r="B29" s="151" t="s">
        <v>4</v>
      </c>
      <c r="C29" s="151">
        <v>3</v>
      </c>
      <c r="K29" s="148"/>
      <c r="L29" s="150"/>
      <c r="M29" s="150"/>
      <c r="N29" s="150"/>
      <c r="O29" s="148"/>
      <c r="P29" s="148"/>
    </row>
    <row r="30" spans="1:16">
      <c r="K30" s="148"/>
      <c r="L30" s="150"/>
      <c r="M30" s="150"/>
      <c r="N30" s="150"/>
      <c r="O30" s="148"/>
      <c r="P30" s="148"/>
    </row>
    <row r="31" spans="1:16">
      <c r="A31" s="149" t="s">
        <v>56</v>
      </c>
      <c r="B31" s="151" t="s">
        <v>23</v>
      </c>
      <c r="C31" s="149" t="s">
        <v>57</v>
      </c>
      <c r="K31" s="148"/>
      <c r="L31" s="150"/>
      <c r="M31" s="150"/>
      <c r="N31" s="150"/>
      <c r="O31" s="148"/>
      <c r="P31" s="148"/>
    </row>
    <row r="32" spans="1:16">
      <c r="A32" s="149" t="s">
        <v>58</v>
      </c>
      <c r="B32" s="151" t="s">
        <v>23</v>
      </c>
      <c r="C32" s="149" t="s">
        <v>59</v>
      </c>
      <c r="K32" s="148"/>
      <c r="L32" s="150"/>
      <c r="M32" s="150"/>
      <c r="N32" s="150"/>
      <c r="O32" s="148"/>
      <c r="P32" s="148"/>
    </row>
    <row r="33" spans="1:16">
      <c r="A33" s="149" t="s">
        <v>60</v>
      </c>
      <c r="B33" s="151" t="s">
        <v>23</v>
      </c>
      <c r="C33" s="149" t="s">
        <v>61</v>
      </c>
      <c r="K33" s="148"/>
      <c r="L33" s="150"/>
      <c r="M33" s="150"/>
      <c r="N33" s="150"/>
      <c r="O33" s="148"/>
      <c r="P33" s="148"/>
    </row>
    <row r="34" spans="1:16">
      <c r="A34" s="149" t="s">
        <v>62</v>
      </c>
      <c r="B34" s="151" t="s">
        <v>23</v>
      </c>
      <c r="C34" s="149" t="s">
        <v>63</v>
      </c>
      <c r="K34" s="148"/>
      <c r="L34" s="150"/>
      <c r="M34" s="150"/>
      <c r="N34" s="150"/>
      <c r="O34" s="148"/>
      <c r="P34" s="148"/>
    </row>
    <row r="35" spans="1:16">
      <c r="A35" s="149" t="s">
        <v>64</v>
      </c>
      <c r="B35" s="151" t="s">
        <v>23</v>
      </c>
      <c r="C35" s="149" t="s">
        <v>65</v>
      </c>
      <c r="K35" s="152"/>
      <c r="L35" s="152"/>
      <c r="M35" s="152"/>
      <c r="N35" s="152"/>
      <c r="O35" s="152"/>
      <c r="P35" s="152"/>
    </row>
    <row r="36" spans="1:16">
      <c r="A36" s="149" t="s">
        <v>66</v>
      </c>
      <c r="B36" s="151" t="s">
        <v>23</v>
      </c>
      <c r="C36" s="149" t="s">
        <v>67</v>
      </c>
    </row>
    <row r="37" spans="1:16">
      <c r="A37" s="149" t="s">
        <v>68</v>
      </c>
      <c r="B37" s="151" t="s">
        <v>23</v>
      </c>
      <c r="C37" s="149" t="s">
        <v>69</v>
      </c>
    </row>
    <row r="38" spans="1:16">
      <c r="A38" s="149" t="s">
        <v>70</v>
      </c>
      <c r="B38" s="151" t="s">
        <v>23</v>
      </c>
      <c r="C38" s="149" t="s">
        <v>71</v>
      </c>
    </row>
    <row r="39" spans="1:16">
      <c r="A39" s="149" t="s">
        <v>72</v>
      </c>
      <c r="B39" s="151" t="s">
        <v>23</v>
      </c>
      <c r="C39" s="149" t="s">
        <v>73</v>
      </c>
    </row>
    <row r="40" spans="1:16">
      <c r="A40" s="149" t="s">
        <v>74</v>
      </c>
      <c r="B40" s="151" t="s">
        <v>23</v>
      </c>
      <c r="C40" s="149" t="s">
        <v>75</v>
      </c>
    </row>
    <row r="41" spans="1:16">
      <c r="A41" s="149" t="s">
        <v>76</v>
      </c>
      <c r="B41" s="151" t="s">
        <v>23</v>
      </c>
      <c r="C41" s="149" t="s">
        <v>77</v>
      </c>
    </row>
    <row r="42" spans="1:16">
      <c r="A42" s="149" t="s">
        <v>78</v>
      </c>
      <c r="B42" s="151" t="s">
        <v>23</v>
      </c>
      <c r="C42" s="149" t="s">
        <v>79</v>
      </c>
    </row>
    <row r="43" spans="1:16">
      <c r="A43" s="149" t="s">
        <v>80</v>
      </c>
      <c r="B43" s="151" t="s">
        <v>23</v>
      </c>
      <c r="C43" s="149" t="s">
        <v>81</v>
      </c>
    </row>
    <row r="44" spans="1:16">
      <c r="A44" s="149" t="s">
        <v>82</v>
      </c>
      <c r="B44" s="151" t="s">
        <v>23</v>
      </c>
      <c r="C44" s="149" t="s">
        <v>83</v>
      </c>
    </row>
    <row r="45" ht="16.5" spans="1:16">
      <c r="A45" s="149" t="s">
        <v>84</v>
      </c>
      <c r="B45" s="151" t="s">
        <v>23</v>
      </c>
      <c r="C45" s="153" t="s">
        <v>85</v>
      </c>
    </row>
    <row r="46" spans="1:16">
      <c r="A46" s="149" t="s">
        <v>86</v>
      </c>
      <c r="B46" s="151" t="s">
        <v>23</v>
      </c>
      <c r="C46" s="149" t="s">
        <v>87</v>
      </c>
    </row>
    <row r="47" spans="1:16">
      <c r="A47" s="154" t="s">
        <v>88</v>
      </c>
      <c r="B47" s="154" t="s">
        <v>23</v>
      </c>
      <c r="C47" s="154" t="s">
        <v>89</v>
      </c>
    </row>
  </sheetData>
  <mergeCells count="1">
    <mergeCell ref="L7:N7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5"/>
  <sheetViews>
    <sheetView topLeftCell="A38" workbookViewId="0">
      <selection activeCell="C19" sqref="C19"/>
    </sheetView>
  </sheetViews>
  <sheetFormatPr defaultColWidth="8.71428571428571" defaultRowHeight="15" outlineLevelCol="3"/>
  <cols>
    <col min="1" max="1" width="34.7142857142857" customWidth="1"/>
    <col min="2" max="2" width="6" customWidth="1"/>
    <col min="3" max="3" width="26" customWidth="1"/>
    <col min="4" max="4" width="42.8571428571429" customWidth="1"/>
    <col min="5" max="5" width="16.4285714285714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39" t="s">
        <v>90</v>
      </c>
      <c r="B2" s="139" t="s">
        <v>23</v>
      </c>
      <c r="C2" s="139" t="s">
        <v>91</v>
      </c>
      <c r="D2" s="139" t="s">
        <v>92</v>
      </c>
    </row>
    <row r="3" spans="1:4">
      <c r="A3" s="139" t="s">
        <v>93</v>
      </c>
      <c r="B3" s="139" t="s">
        <v>23</v>
      </c>
      <c r="C3" s="139" t="s">
        <v>94</v>
      </c>
      <c r="D3" s="139" t="s">
        <v>92</v>
      </c>
    </row>
    <row r="4" spans="1:4">
      <c r="A4" s="139" t="s">
        <v>95</v>
      </c>
      <c r="B4" s="139" t="s">
        <v>23</v>
      </c>
      <c r="C4" s="139" t="s">
        <v>96</v>
      </c>
      <c r="D4" s="139" t="s">
        <v>92</v>
      </c>
    </row>
    <row r="5" spans="1:4">
      <c r="A5" s="139" t="s">
        <v>97</v>
      </c>
      <c r="B5" s="139" t="s">
        <v>23</v>
      </c>
      <c r="C5" s="139" t="s">
        <v>98</v>
      </c>
      <c r="D5" s="139" t="s">
        <v>99</v>
      </c>
    </row>
    <row r="6" spans="1:4">
      <c r="A6" s="139" t="s">
        <v>100</v>
      </c>
      <c r="B6" s="139" t="s">
        <v>23</v>
      </c>
      <c r="C6" s="139" t="s">
        <v>101</v>
      </c>
      <c r="D6" s="139" t="s">
        <v>99</v>
      </c>
    </row>
    <row r="7" spans="1:4">
      <c r="A7" s="139" t="s">
        <v>102</v>
      </c>
      <c r="B7" s="139" t="s">
        <v>23</v>
      </c>
      <c r="C7" s="139" t="s">
        <v>103</v>
      </c>
      <c r="D7" s="139" t="s">
        <v>104</v>
      </c>
    </row>
    <row r="8" spans="1:4">
      <c r="A8" s="139" t="s">
        <v>105</v>
      </c>
      <c r="B8" s="139" t="s">
        <v>23</v>
      </c>
      <c r="C8" s="139" t="s">
        <v>106</v>
      </c>
      <c r="D8" s="139" t="s">
        <v>104</v>
      </c>
    </row>
    <row r="9" spans="1:4">
      <c r="A9" s="139" t="s">
        <v>107</v>
      </c>
      <c r="B9" s="139" t="s">
        <v>23</v>
      </c>
      <c r="C9" s="139" t="s">
        <v>108</v>
      </c>
      <c r="D9" s="139" t="s">
        <v>104</v>
      </c>
    </row>
    <row r="10" spans="1:4">
      <c r="A10" s="139" t="s">
        <v>109</v>
      </c>
      <c r="B10" s="139" t="s">
        <v>23</v>
      </c>
      <c r="C10" s="139" t="s">
        <v>110</v>
      </c>
      <c r="D10" s="139" t="s">
        <v>104</v>
      </c>
    </row>
    <row r="11" spans="1:4">
      <c r="A11" s="139" t="s">
        <v>111</v>
      </c>
      <c r="B11" s="139" t="s">
        <v>23</v>
      </c>
      <c r="C11" s="139" t="s">
        <v>112</v>
      </c>
      <c r="D11" s="139"/>
    </row>
    <row r="12" spans="1:4">
      <c r="A12" s="139" t="s">
        <v>113</v>
      </c>
      <c r="B12" s="139" t="s">
        <v>23</v>
      </c>
      <c r="C12" s="139" t="s">
        <v>114</v>
      </c>
      <c r="D12" s="139" t="s">
        <v>115</v>
      </c>
    </row>
    <row r="13" spans="1:4">
      <c r="A13" s="139" t="s">
        <v>116</v>
      </c>
      <c r="B13" s="139" t="s">
        <v>23</v>
      </c>
      <c r="C13" s="139" t="s">
        <v>117</v>
      </c>
      <c r="D13" s="139" t="s">
        <v>118</v>
      </c>
    </row>
    <row r="14" spans="1:4">
      <c r="A14" s="139" t="s">
        <v>119</v>
      </c>
      <c r="B14" s="139" t="s">
        <v>23</v>
      </c>
      <c r="C14" s="139" t="s">
        <v>120</v>
      </c>
      <c r="D14" s="139"/>
    </row>
    <row r="15" spans="1:4">
      <c r="A15" s="139" t="s">
        <v>121</v>
      </c>
      <c r="B15" s="139" t="s">
        <v>23</v>
      </c>
      <c r="C15" s="139" t="s">
        <v>122</v>
      </c>
      <c r="D15" s="139" t="s">
        <v>115</v>
      </c>
    </row>
    <row r="16" spans="1:4">
      <c r="A16" s="139" t="s">
        <v>123</v>
      </c>
      <c r="B16" s="139" t="s">
        <v>23</v>
      </c>
      <c r="C16" s="139" t="s">
        <v>124</v>
      </c>
      <c r="D16" s="139" t="s">
        <v>118</v>
      </c>
    </row>
    <row r="17" spans="1:4">
      <c r="A17" s="139" t="s">
        <v>125</v>
      </c>
      <c r="B17" s="139" t="s">
        <v>23</v>
      </c>
      <c r="C17" s="139" t="s">
        <v>126</v>
      </c>
      <c r="D17" s="139" t="s">
        <v>104</v>
      </c>
    </row>
    <row r="18" spans="1:4">
      <c r="A18" s="139" t="s">
        <v>127</v>
      </c>
      <c r="B18" s="139" t="s">
        <v>23</v>
      </c>
      <c r="C18" s="139" t="s">
        <v>128</v>
      </c>
      <c r="D18" s="139" t="s">
        <v>115</v>
      </c>
    </row>
    <row r="19" spans="1:4">
      <c r="A19" s="139" t="s">
        <v>129</v>
      </c>
      <c r="B19" s="139" t="s">
        <v>23</v>
      </c>
      <c r="C19" s="139" t="s">
        <v>130</v>
      </c>
      <c r="D19" s="139" t="s">
        <v>115</v>
      </c>
    </row>
    <row r="20" spans="1:4">
      <c r="A20" s="139" t="s">
        <v>131</v>
      </c>
      <c r="B20" s="139" t="s">
        <v>23</v>
      </c>
      <c r="C20" s="139" t="s">
        <v>132</v>
      </c>
      <c r="D20" s="139" t="s">
        <v>133</v>
      </c>
    </row>
    <row r="21" spans="1:4">
      <c r="A21" s="139" t="s">
        <v>134</v>
      </c>
      <c r="B21" s="139" t="s">
        <v>23</v>
      </c>
      <c r="C21" s="139" t="s">
        <v>135</v>
      </c>
      <c r="D21" s="139" t="s">
        <v>136</v>
      </c>
    </row>
    <row r="22" spans="1:4">
      <c r="A22" s="139" t="s">
        <v>137</v>
      </c>
      <c r="B22" s="139" t="s">
        <v>23</v>
      </c>
      <c r="C22" s="139" t="s">
        <v>138</v>
      </c>
      <c r="D22" s="139" t="s">
        <v>136</v>
      </c>
    </row>
    <row r="23" spans="1:4">
      <c r="A23" s="139" t="s">
        <v>139</v>
      </c>
      <c r="B23" s="139" t="s">
        <v>23</v>
      </c>
      <c r="C23" s="139" t="s">
        <v>140</v>
      </c>
      <c r="D23" s="139" t="s">
        <v>136</v>
      </c>
    </row>
    <row r="24" spans="1:4">
      <c r="A24" s="139" t="s">
        <v>141</v>
      </c>
      <c r="B24" s="139" t="s">
        <v>23</v>
      </c>
      <c r="C24" s="139" t="s">
        <v>142</v>
      </c>
      <c r="D24" s="139"/>
    </row>
    <row r="25" spans="1:4">
      <c r="A25" s="139" t="s">
        <v>143</v>
      </c>
      <c r="B25" s="139" t="s">
        <v>23</v>
      </c>
      <c r="C25" s="139" t="s">
        <v>144</v>
      </c>
      <c r="D25" s="139"/>
    </row>
    <row r="26" spans="1:4">
      <c r="A26" s="139" t="s">
        <v>145</v>
      </c>
      <c r="B26" s="139" t="s">
        <v>23</v>
      </c>
      <c r="C26" s="139" t="s">
        <v>146</v>
      </c>
      <c r="D26" s="139" t="s">
        <v>147</v>
      </c>
    </row>
    <row r="27" spans="1:4">
      <c r="A27" s="139" t="s">
        <v>148</v>
      </c>
      <c r="B27" s="139" t="s">
        <v>23</v>
      </c>
      <c r="C27" s="139" t="s">
        <v>149</v>
      </c>
      <c r="D27" s="139"/>
    </row>
    <row r="28" spans="1:4">
      <c r="A28" s="139" t="s">
        <v>150</v>
      </c>
      <c r="B28" s="139" t="s">
        <v>23</v>
      </c>
      <c r="C28" s="139" t="s">
        <v>151</v>
      </c>
      <c r="D28" s="139"/>
    </row>
    <row r="29" spans="1:4">
      <c r="A29" s="139" t="s">
        <v>152</v>
      </c>
      <c r="B29" s="139" t="s">
        <v>23</v>
      </c>
      <c r="C29" s="139" t="s">
        <v>153</v>
      </c>
      <c r="D29" s="139"/>
    </row>
    <row r="30" spans="1:4">
      <c r="A30" s="139" t="s">
        <v>154</v>
      </c>
      <c r="B30" s="139" t="s">
        <v>23</v>
      </c>
      <c r="C30" s="139" t="s">
        <v>155</v>
      </c>
      <c r="D30" s="139" t="s">
        <v>156</v>
      </c>
    </row>
    <row r="31" spans="1:4">
      <c r="A31" s="139" t="s">
        <v>157</v>
      </c>
      <c r="B31" s="139" t="s">
        <v>23</v>
      </c>
      <c r="C31" s="139" t="s">
        <v>158</v>
      </c>
      <c r="D31" s="139" t="s">
        <v>156</v>
      </c>
    </row>
    <row r="32" spans="1:4">
      <c r="A32" s="139" t="s">
        <v>159</v>
      </c>
      <c r="B32" s="139" t="s">
        <v>23</v>
      </c>
      <c r="C32" s="139" t="s">
        <v>160</v>
      </c>
      <c r="D32" s="139"/>
    </row>
    <row r="33" spans="1:4">
      <c r="A33" s="139" t="s">
        <v>161</v>
      </c>
      <c r="B33" s="139" t="s">
        <v>23</v>
      </c>
      <c r="C33" s="139" t="s">
        <v>162</v>
      </c>
      <c r="D33" s="139" t="s">
        <v>163</v>
      </c>
    </row>
    <row r="34" spans="1:4">
      <c r="A34" s="139" t="s">
        <v>164</v>
      </c>
      <c r="B34" s="139" t="s">
        <v>23</v>
      </c>
      <c r="C34" s="139" t="s">
        <v>165</v>
      </c>
      <c r="D34" s="139" t="s">
        <v>163</v>
      </c>
    </row>
    <row r="35" spans="1:4">
      <c r="A35" s="139" t="s">
        <v>166</v>
      </c>
      <c r="B35" s="139" t="s">
        <v>23</v>
      </c>
      <c r="C35" s="139" t="s">
        <v>167</v>
      </c>
      <c r="D35" s="139" t="s">
        <v>163</v>
      </c>
    </row>
    <row r="36" spans="1:4">
      <c r="A36" s="139" t="s">
        <v>168</v>
      </c>
      <c r="B36" s="139" t="s">
        <v>23</v>
      </c>
      <c r="C36" s="139" t="s">
        <v>169</v>
      </c>
      <c r="D36" s="139" t="s">
        <v>163</v>
      </c>
    </row>
    <row r="37" spans="1:4">
      <c r="A37" s="139" t="s">
        <v>170</v>
      </c>
      <c r="B37" s="139" t="s">
        <v>23</v>
      </c>
      <c r="C37" s="139" t="s">
        <v>171</v>
      </c>
      <c r="D37" s="139" t="s">
        <v>133</v>
      </c>
    </row>
    <row r="38" spans="1:4">
      <c r="A38" s="139" t="s">
        <v>172</v>
      </c>
      <c r="B38" s="139" t="s">
        <v>23</v>
      </c>
      <c r="C38" s="139" t="s">
        <v>173</v>
      </c>
      <c r="D38" s="139" t="s">
        <v>136</v>
      </c>
    </row>
    <row r="39" spans="1:4">
      <c r="A39" s="139" t="s">
        <v>174</v>
      </c>
      <c r="B39" s="139" t="s">
        <v>23</v>
      </c>
      <c r="C39" s="139" t="s">
        <v>175</v>
      </c>
      <c r="D39" s="139" t="s">
        <v>176</v>
      </c>
    </row>
    <row r="40" spans="1:4">
      <c r="A40" s="139" t="s">
        <v>177</v>
      </c>
      <c r="B40" s="139" t="s">
        <v>23</v>
      </c>
      <c r="C40" s="139" t="s">
        <v>178</v>
      </c>
      <c r="D40" s="139" t="s">
        <v>179</v>
      </c>
    </row>
    <row r="41" spans="1:4">
      <c r="A41" s="140" t="s">
        <v>180</v>
      </c>
      <c r="B41" s="140" t="s">
        <v>23</v>
      </c>
      <c r="C41" s="140" t="s">
        <v>181</v>
      </c>
      <c r="D41" s="140" t="s">
        <v>182</v>
      </c>
    </row>
    <row r="42" spans="1:4">
      <c r="A42" s="140" t="s">
        <v>183</v>
      </c>
      <c r="B42" s="140" t="s">
        <v>23</v>
      </c>
      <c r="C42" s="140" t="s">
        <v>184</v>
      </c>
      <c r="D42" s="140" t="s">
        <v>118</v>
      </c>
    </row>
    <row r="43" spans="1:4">
      <c r="A43" s="141" t="s">
        <v>185</v>
      </c>
      <c r="B43" s="142" t="s">
        <v>23</v>
      </c>
      <c r="C43" s="141" t="s">
        <v>186</v>
      </c>
      <c r="D43" s="141" t="s">
        <v>187</v>
      </c>
    </row>
    <row r="44" spans="1:4">
      <c r="A44" s="141" t="s">
        <v>188</v>
      </c>
      <c r="B44" s="142" t="s">
        <v>23</v>
      </c>
      <c r="C44" s="141" t="s">
        <v>189</v>
      </c>
      <c r="D44" s="141" t="s">
        <v>187</v>
      </c>
    </row>
    <row r="45" spans="1:4">
      <c r="A45" s="141" t="s">
        <v>190</v>
      </c>
      <c r="B45" s="142" t="s">
        <v>23</v>
      </c>
      <c r="C45" s="141" t="s">
        <v>191</v>
      </c>
      <c r="D45" s="141"/>
    </row>
    <row r="46" spans="1:4">
      <c r="A46" s="141" t="s">
        <v>192</v>
      </c>
      <c r="B46" s="142" t="s">
        <v>23</v>
      </c>
      <c r="C46" s="141" t="s">
        <v>193</v>
      </c>
      <c r="D46" s="141"/>
    </row>
    <row r="47" spans="1:4">
      <c r="A47" s="141" t="s">
        <v>194</v>
      </c>
      <c r="B47" s="142" t="s">
        <v>23</v>
      </c>
      <c r="C47" s="141" t="s">
        <v>195</v>
      </c>
      <c r="D47" s="141"/>
    </row>
    <row r="48" spans="1:4">
      <c r="A48" s="139" t="s">
        <v>196</v>
      </c>
      <c r="B48" s="139" t="s">
        <v>23</v>
      </c>
      <c r="C48" s="139" t="s">
        <v>197</v>
      </c>
      <c r="D48" s="139"/>
    </row>
    <row r="49" spans="1:4">
      <c r="A49" t="s">
        <v>198</v>
      </c>
      <c r="B49" t="s">
        <v>23</v>
      </c>
      <c r="C49" t="s">
        <v>199</v>
      </c>
    </row>
    <row r="50" spans="1:4">
      <c r="A50" s="141" t="s">
        <v>200</v>
      </c>
      <c r="B50" s="142" t="s">
        <v>23</v>
      </c>
      <c r="C50" s="141" t="s">
        <v>201</v>
      </c>
      <c r="D50" s="141" t="s">
        <v>202</v>
      </c>
    </row>
    <row r="51" spans="1:4">
      <c r="A51" s="141" t="s">
        <v>203</v>
      </c>
      <c r="B51" s="143" t="s">
        <v>23</v>
      </c>
      <c r="C51" t="s">
        <v>204</v>
      </c>
      <c r="D51" s="141"/>
    </row>
    <row r="52" spans="1:4">
      <c r="A52" t="s">
        <v>205</v>
      </c>
      <c r="B52" t="s">
        <v>23</v>
      </c>
      <c r="C52" t="s">
        <v>206</v>
      </c>
    </row>
    <row r="53" spans="1:4">
      <c r="A53" t="s">
        <v>207</v>
      </c>
      <c r="B53" t="s">
        <v>23</v>
      </c>
      <c r="C53" t="s">
        <v>208</v>
      </c>
    </row>
    <row r="54" spans="1:4">
      <c r="A54" t="s">
        <v>209</v>
      </c>
      <c r="B54" t="s">
        <v>23</v>
      </c>
      <c r="C54" t="s">
        <v>210</v>
      </c>
    </row>
    <row r="55" spans="1:4">
      <c r="A55" t="s">
        <v>211</v>
      </c>
      <c r="B55" t="s">
        <v>23</v>
      </c>
      <c r="C55" t="s">
        <v>212</v>
      </c>
    </row>
    <row r="56" spans="1:4">
      <c r="A56" t="s">
        <v>213</v>
      </c>
      <c r="B56" t="s">
        <v>23</v>
      </c>
      <c r="C56" t="s">
        <v>214</v>
      </c>
    </row>
    <row r="57" spans="1:4">
      <c r="A57" t="s">
        <v>215</v>
      </c>
      <c r="B57" t="s">
        <v>23</v>
      </c>
      <c r="C57" t="s">
        <v>216</v>
      </c>
    </row>
    <row r="58" spans="1:4">
      <c r="A58" t="s">
        <v>217</v>
      </c>
      <c r="B58" t="s">
        <v>23</v>
      </c>
      <c r="C58" t="s">
        <v>218</v>
      </c>
    </row>
    <row r="59" spans="1:4">
      <c r="A59" t="s">
        <v>219</v>
      </c>
      <c r="B59" t="s">
        <v>23</v>
      </c>
      <c r="C59" t="s">
        <v>220</v>
      </c>
    </row>
    <row r="60" spans="1:4">
      <c r="A60" t="s">
        <v>221</v>
      </c>
      <c r="B60" t="s">
        <v>23</v>
      </c>
      <c r="C60" t="s">
        <v>222</v>
      </c>
    </row>
    <row r="61" spans="1:4">
      <c r="A61" t="s">
        <v>223</v>
      </c>
      <c r="B61" t="s">
        <v>23</v>
      </c>
      <c r="C61" t="s">
        <v>224</v>
      </c>
    </row>
    <row r="62" spans="1:4">
      <c r="A62" t="s">
        <v>225</v>
      </c>
      <c r="B62" t="s">
        <v>23</v>
      </c>
      <c r="C62" t="s">
        <v>226</v>
      </c>
    </row>
    <row r="63" spans="1:4">
      <c r="A63" t="s">
        <v>227</v>
      </c>
      <c r="B63" t="s">
        <v>23</v>
      </c>
      <c r="C63" t="s">
        <v>228</v>
      </c>
    </row>
    <row r="64" spans="1:4">
      <c r="A64" t="s">
        <v>229</v>
      </c>
      <c r="B64" t="s">
        <v>23</v>
      </c>
      <c r="C64" t="s">
        <v>230</v>
      </c>
    </row>
    <row r="65" spans="1:3">
      <c r="A65" t="s">
        <v>231</v>
      </c>
      <c r="B65" t="s">
        <v>23</v>
      </c>
      <c r="C65" t="s">
        <v>232</v>
      </c>
    </row>
    <row r="66" spans="1:3">
      <c r="A66" t="s">
        <v>233</v>
      </c>
      <c r="B66" t="s">
        <v>23</v>
      </c>
      <c r="C66" t="s">
        <v>234</v>
      </c>
    </row>
    <row r="67" spans="1:3">
      <c r="A67" t="s">
        <v>235</v>
      </c>
      <c r="B67" t="s">
        <v>23</v>
      </c>
      <c r="C67" t="s">
        <v>236</v>
      </c>
    </row>
    <row r="68" spans="1:3">
      <c r="A68" s="144" t="s">
        <v>237</v>
      </c>
      <c r="B68" s="144" t="s">
        <v>23</v>
      </c>
      <c r="C68" s="144" t="s">
        <v>238</v>
      </c>
    </row>
    <row r="69" spans="1:3">
      <c r="A69" t="s">
        <v>239</v>
      </c>
      <c r="B69" t="s">
        <v>23</v>
      </c>
      <c r="C69" t="s">
        <v>240</v>
      </c>
    </row>
    <row r="70" spans="1:3">
      <c r="A70" s="145" t="s">
        <v>241</v>
      </c>
      <c r="B70" s="145" t="s">
        <v>23</v>
      </c>
      <c r="C70" s="145" t="s">
        <v>242</v>
      </c>
    </row>
    <row r="71" spans="1:3">
      <c r="A71" s="145" t="s">
        <v>243</v>
      </c>
      <c r="B71" s="145" t="s">
        <v>23</v>
      </c>
      <c r="C71" s="146" t="s">
        <v>244</v>
      </c>
    </row>
    <row r="73" spans="1:3">
      <c r="A73" t="s">
        <v>245</v>
      </c>
      <c r="B73" t="s">
        <v>23</v>
      </c>
      <c r="C73" t="s">
        <v>246</v>
      </c>
    </row>
    <row r="74" spans="1:3">
      <c r="A74" t="s">
        <v>247</v>
      </c>
      <c r="B74" t="s">
        <v>23</v>
      </c>
      <c r="C74" t="s">
        <v>248</v>
      </c>
    </row>
    <row r="75" spans="1:3">
      <c r="A75" t="s">
        <v>249</v>
      </c>
      <c r="B75" t="s">
        <v>23</v>
      </c>
      <c r="C75" t="s">
        <v>250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93"/>
  <sheetViews>
    <sheetView workbookViewId="0">
      <selection activeCell="AQ59" sqref="AQ59"/>
    </sheetView>
  </sheetViews>
  <sheetFormatPr defaultColWidth="8.71428571428571" defaultRowHeight="15"/>
  <cols>
    <col min="1" max="1" width="6.14285714285714" customWidth="1"/>
    <col min="2" max="2" width="2.42857142857143" customWidth="1"/>
    <col min="3" max="3" width="11.5714285714286" hidden="1" customWidth="1"/>
    <col min="4" max="4" width="24.8571428571429" customWidth="1"/>
    <col min="5" max="5" width="2.71428571428571" customWidth="1"/>
    <col min="6" max="6" width="11.5714285714286" hidden="1" customWidth="1"/>
    <col min="7" max="7" width="36.7142857142857" customWidth="1"/>
    <col min="8" max="9" width="3" customWidth="1"/>
    <col min="10" max="10" width="22.7142857142857" customWidth="1"/>
    <col min="11" max="11" width="3" customWidth="1"/>
    <col min="12" max="12" width="2.14285714285714" customWidth="1"/>
    <col min="13" max="13" width="29" customWidth="1"/>
    <col min="14" max="14" width="3" customWidth="1"/>
    <col min="15" max="15" width="5.85714285714286" hidden="1" customWidth="1"/>
    <col min="16" max="16" width="19.7142857142857" customWidth="1"/>
    <col min="17" max="17" width="1.85714285714286" customWidth="1"/>
    <col min="18" max="18" width="4.85714285714286" hidden="1" customWidth="1"/>
    <col min="19" max="19" width="22" customWidth="1"/>
    <col min="20" max="20" width="4.42857142857143" customWidth="1"/>
    <col min="21" max="21" width="2.85714285714286" customWidth="1"/>
    <col min="22" max="22" width="26.7142857142857" customWidth="1"/>
    <col min="23" max="23" width="3" customWidth="1"/>
    <col min="25" max="25" width="19.4285714285714" customWidth="1"/>
    <col min="26" max="26" width="2" customWidth="1"/>
    <col min="28" max="28" width="21.5714285714286" customWidth="1"/>
    <col min="29" max="29" width="3" customWidth="1"/>
    <col min="30" max="30" width="18.4285714285714" customWidth="1"/>
    <col min="31" max="31" width="19.5714285714286" customWidth="1"/>
    <col min="32" max="32" width="2" customWidth="1"/>
    <col min="34" max="34" width="15.7142857142857" customWidth="1"/>
    <col min="35" max="35" width="2" customWidth="1"/>
    <col min="37" max="37" width="18" customWidth="1"/>
    <col min="38" max="38" width="2" customWidth="1"/>
    <col min="40" max="40" width="22.5714285714286" customWidth="1"/>
    <col min="41" max="41" width="2" customWidth="1"/>
    <col min="43" max="43" width="32.7142857142857" customWidth="1"/>
    <col min="44" max="44" width="3" customWidth="1"/>
    <col min="46" max="46" width="26.4285714285714" customWidth="1"/>
    <col min="47" max="47" width="2" customWidth="1"/>
  </cols>
  <sheetData>
    <row r="1" spans="1:47">
      <c r="A1" t="s">
        <v>251</v>
      </c>
      <c r="D1" t="s">
        <v>252</v>
      </c>
      <c r="G1" t="s">
        <v>253</v>
      </c>
      <c r="J1" t="s">
        <v>254</v>
      </c>
      <c r="M1" t="s">
        <v>255</v>
      </c>
      <c r="P1" t="s">
        <v>256</v>
      </c>
      <c r="S1" t="s">
        <v>257</v>
      </c>
      <c r="V1" t="s">
        <v>258</v>
      </c>
      <c r="Y1" t="s">
        <v>259</v>
      </c>
      <c r="AB1" s="24" t="s">
        <v>260</v>
      </c>
      <c r="AC1" s="24"/>
      <c r="AE1" t="s">
        <v>261</v>
      </c>
      <c r="AH1" t="s">
        <v>262</v>
      </c>
      <c r="AK1" t="s">
        <v>263</v>
      </c>
      <c r="AN1" t="s">
        <v>264</v>
      </c>
      <c r="AQ1" s="24" t="s">
        <v>265</v>
      </c>
      <c r="AR1" s="24"/>
      <c r="AT1" t="s">
        <v>266</v>
      </c>
    </row>
    <row r="2" spans="1:47">
      <c r="A2" t="s">
        <v>267</v>
      </c>
      <c r="B2">
        <v>0</v>
      </c>
      <c r="D2" t="s">
        <v>268</v>
      </c>
      <c r="E2">
        <v>1</v>
      </c>
      <c r="G2" s="53" t="s">
        <v>269</v>
      </c>
      <c r="H2">
        <v>1</v>
      </c>
      <c r="J2" t="s">
        <v>270</v>
      </c>
      <c r="K2">
        <v>1</v>
      </c>
      <c r="M2" t="s">
        <v>271</v>
      </c>
      <c r="N2">
        <v>1</v>
      </c>
      <c r="P2" t="s">
        <v>272</v>
      </c>
      <c r="Q2">
        <v>0</v>
      </c>
      <c r="S2" t="s">
        <v>273</v>
      </c>
      <c r="T2">
        <v>1</v>
      </c>
      <c r="V2" t="s">
        <v>274</v>
      </c>
      <c r="W2">
        <v>1</v>
      </c>
      <c r="Y2" t="s">
        <v>275</v>
      </c>
      <c r="Z2">
        <v>1</v>
      </c>
      <c r="AB2" s="121" t="s">
        <v>276</v>
      </c>
      <c r="AC2" s="121">
        <v>1</v>
      </c>
      <c r="AE2" t="s">
        <v>277</v>
      </c>
      <c r="AF2">
        <v>1</v>
      </c>
      <c r="AH2" t="s">
        <v>278</v>
      </c>
      <c r="AI2">
        <v>1</v>
      </c>
      <c r="AK2" t="s">
        <v>279</v>
      </c>
      <c r="AL2">
        <v>1</v>
      </c>
      <c r="AN2" t="s">
        <v>280</v>
      </c>
      <c r="AO2">
        <v>0</v>
      </c>
      <c r="AQ2" s="24" t="s">
        <v>281</v>
      </c>
      <c r="AR2" s="24">
        <v>1</v>
      </c>
      <c r="AT2" t="s">
        <v>282</v>
      </c>
      <c r="AU2">
        <v>1</v>
      </c>
    </row>
    <row r="3" spans="1:47">
      <c r="D3" t="s">
        <v>283</v>
      </c>
      <c r="E3">
        <v>2</v>
      </c>
      <c r="G3" s="53" t="s">
        <v>284</v>
      </c>
      <c r="H3">
        <v>2</v>
      </c>
      <c r="J3" t="s">
        <v>285</v>
      </c>
      <c r="K3">
        <v>2</v>
      </c>
      <c r="M3" t="s">
        <v>286</v>
      </c>
      <c r="N3">
        <v>2</v>
      </c>
      <c r="P3" t="s">
        <v>287</v>
      </c>
      <c r="Q3">
        <v>1</v>
      </c>
      <c r="V3" t="s">
        <v>288</v>
      </c>
      <c r="W3">
        <v>2</v>
      </c>
      <c r="Y3" t="s">
        <v>289</v>
      </c>
      <c r="Z3">
        <v>2</v>
      </c>
      <c r="AB3" s="121" t="s">
        <v>290</v>
      </c>
      <c r="AC3" s="121">
        <v>2</v>
      </c>
      <c r="AE3" t="s">
        <v>291</v>
      </c>
      <c r="AF3">
        <v>2</v>
      </c>
      <c r="AH3" t="s">
        <v>292</v>
      </c>
      <c r="AI3">
        <v>2</v>
      </c>
      <c r="AK3" t="s">
        <v>293</v>
      </c>
      <c r="AL3">
        <v>2</v>
      </c>
      <c r="AN3" t="s">
        <v>294</v>
      </c>
      <c r="AO3">
        <v>1</v>
      </c>
      <c r="AQ3" s="24" t="s">
        <v>295</v>
      </c>
      <c r="AR3" s="24">
        <v>2</v>
      </c>
      <c r="AT3" t="s">
        <v>296</v>
      </c>
      <c r="AU3">
        <v>2</v>
      </c>
    </row>
    <row r="4" spans="1:47">
      <c r="D4" t="s">
        <v>297</v>
      </c>
      <c r="E4">
        <v>3</v>
      </c>
      <c r="G4" s="122" t="s">
        <v>298</v>
      </c>
      <c r="H4">
        <v>3</v>
      </c>
      <c r="J4" t="s">
        <v>299</v>
      </c>
      <c r="K4">
        <v>3</v>
      </c>
      <c r="M4" t="s">
        <v>300</v>
      </c>
      <c r="N4">
        <v>3</v>
      </c>
      <c r="P4" t="s">
        <v>301</v>
      </c>
      <c r="Q4">
        <v>2</v>
      </c>
      <c r="V4" t="s">
        <v>302</v>
      </c>
      <c r="W4">
        <v>3</v>
      </c>
      <c r="Y4" t="s">
        <v>303</v>
      </c>
      <c r="Z4">
        <v>3</v>
      </c>
      <c r="AB4" s="121" t="s">
        <v>304</v>
      </c>
      <c r="AC4" s="121">
        <v>3</v>
      </c>
      <c r="AE4" t="s">
        <v>305</v>
      </c>
      <c r="AF4">
        <v>3</v>
      </c>
      <c r="AH4" t="s">
        <v>306</v>
      </c>
      <c r="AI4">
        <v>3</v>
      </c>
      <c r="AK4" t="s">
        <v>307</v>
      </c>
      <c r="AL4">
        <v>3</v>
      </c>
      <c r="AN4" t="s">
        <v>308</v>
      </c>
      <c r="AO4">
        <v>2</v>
      </c>
      <c r="AQ4" s="24" t="s">
        <v>309</v>
      </c>
      <c r="AR4" s="24">
        <v>3</v>
      </c>
      <c r="AT4" t="s">
        <v>310</v>
      </c>
      <c r="AU4">
        <v>3</v>
      </c>
    </row>
    <row r="5" spans="1:47">
      <c r="D5" t="s">
        <v>311</v>
      </c>
      <c r="E5">
        <v>4</v>
      </c>
      <c r="G5" s="122" t="s">
        <v>312</v>
      </c>
      <c r="H5">
        <v>4</v>
      </c>
      <c r="J5" t="s">
        <v>313</v>
      </c>
      <c r="K5">
        <v>4</v>
      </c>
      <c r="M5" t="s">
        <v>314</v>
      </c>
      <c r="N5">
        <v>4</v>
      </c>
      <c r="P5" t="s">
        <v>315</v>
      </c>
      <c r="Q5">
        <v>3</v>
      </c>
      <c r="V5" t="s">
        <v>316</v>
      </c>
      <c r="W5">
        <v>4</v>
      </c>
      <c r="Y5" t="s">
        <v>317</v>
      </c>
      <c r="Z5">
        <v>4</v>
      </c>
      <c r="AB5" s="123" t="s">
        <v>318</v>
      </c>
      <c r="AC5" s="121">
        <v>4</v>
      </c>
      <c r="AE5" t="s">
        <v>319</v>
      </c>
      <c r="AF5">
        <v>4</v>
      </c>
      <c r="AN5" t="s">
        <v>320</v>
      </c>
      <c r="AO5">
        <v>3</v>
      </c>
      <c r="AQ5" s="24" t="s">
        <v>321</v>
      </c>
      <c r="AR5" s="24">
        <v>4</v>
      </c>
      <c r="AT5" t="s">
        <v>322</v>
      </c>
      <c r="AU5">
        <v>4</v>
      </c>
    </row>
    <row r="6" spans="1:47">
      <c r="D6" t="s">
        <v>323</v>
      </c>
      <c r="E6">
        <v>5</v>
      </c>
      <c r="G6" s="124" t="s">
        <v>324</v>
      </c>
      <c r="H6">
        <v>5</v>
      </c>
      <c r="M6" t="s">
        <v>325</v>
      </c>
      <c r="N6">
        <v>5</v>
      </c>
      <c r="P6" t="s">
        <v>326</v>
      </c>
      <c r="Q6">
        <v>4</v>
      </c>
      <c r="V6" t="s">
        <v>327</v>
      </c>
      <c r="W6">
        <v>5</v>
      </c>
      <c r="Y6" t="s">
        <v>328</v>
      </c>
      <c r="Z6">
        <v>5</v>
      </c>
      <c r="AB6" s="121" t="s">
        <v>329</v>
      </c>
      <c r="AC6" s="121">
        <v>5</v>
      </c>
      <c r="AE6" t="s">
        <v>330</v>
      </c>
      <c r="AF6">
        <v>5</v>
      </c>
      <c r="AN6" t="s">
        <v>331</v>
      </c>
      <c r="AO6">
        <v>4</v>
      </c>
      <c r="AQ6" s="24" t="s">
        <v>332</v>
      </c>
      <c r="AR6" s="24">
        <v>5</v>
      </c>
      <c r="AT6" t="s">
        <v>333</v>
      </c>
      <c r="AU6">
        <v>5</v>
      </c>
    </row>
    <row r="7" spans="1:47">
      <c r="D7" t="s">
        <v>334</v>
      </c>
      <c r="E7">
        <v>6</v>
      </c>
      <c r="G7" s="124" t="s">
        <v>335</v>
      </c>
      <c r="H7">
        <v>6</v>
      </c>
      <c r="M7" t="s">
        <v>336</v>
      </c>
      <c r="N7">
        <v>6</v>
      </c>
      <c r="P7" t="s">
        <v>47</v>
      </c>
      <c r="Q7">
        <v>5</v>
      </c>
      <c r="V7" t="s">
        <v>337</v>
      </c>
      <c r="W7">
        <v>6</v>
      </c>
      <c r="AB7" s="125" t="s">
        <v>338</v>
      </c>
      <c r="AC7" s="121">
        <v>6</v>
      </c>
      <c r="AE7" t="s">
        <v>339</v>
      </c>
      <c r="AF7">
        <v>6</v>
      </c>
      <c r="AN7" t="s">
        <v>340</v>
      </c>
      <c r="AO7">
        <v>5</v>
      </c>
      <c r="AQ7" s="24" t="s">
        <v>341</v>
      </c>
      <c r="AR7" s="24">
        <v>6</v>
      </c>
      <c r="AT7" t="s">
        <v>342</v>
      </c>
      <c r="AU7">
        <v>6</v>
      </c>
    </row>
    <row r="8" spans="1:47">
      <c r="D8" t="s">
        <v>343</v>
      </c>
      <c r="E8">
        <v>7</v>
      </c>
      <c r="G8" s="126" t="s">
        <v>344</v>
      </c>
      <c r="H8">
        <v>7</v>
      </c>
      <c r="M8" t="s">
        <v>345</v>
      </c>
      <c r="N8">
        <v>7</v>
      </c>
      <c r="P8" s="127" t="s">
        <v>346</v>
      </c>
      <c r="Q8">
        <v>6</v>
      </c>
      <c r="V8" t="s">
        <v>347</v>
      </c>
      <c r="W8">
        <v>7</v>
      </c>
      <c r="AB8" s="121" t="s">
        <v>348</v>
      </c>
      <c r="AC8" s="121">
        <v>7</v>
      </c>
      <c r="AE8" t="s">
        <v>349</v>
      </c>
      <c r="AF8">
        <v>7</v>
      </c>
      <c r="AN8" t="s">
        <v>350</v>
      </c>
      <c r="AO8">
        <v>6</v>
      </c>
      <c r="AQ8" s="24" t="s">
        <v>351</v>
      </c>
      <c r="AR8" s="24">
        <v>7</v>
      </c>
    </row>
    <row r="9" spans="1:47">
      <c r="D9" t="s">
        <v>352</v>
      </c>
      <c r="E9">
        <v>8</v>
      </c>
      <c r="G9" s="126" t="s">
        <v>353</v>
      </c>
      <c r="H9">
        <v>8</v>
      </c>
      <c r="M9" t="s">
        <v>354</v>
      </c>
      <c r="N9">
        <v>8</v>
      </c>
      <c r="V9" t="s">
        <v>355</v>
      </c>
      <c r="W9">
        <v>8</v>
      </c>
      <c r="AB9" s="121" t="s">
        <v>356</v>
      </c>
      <c r="AC9" s="121">
        <v>8</v>
      </c>
      <c r="AQ9" s="24" t="s">
        <v>357</v>
      </c>
      <c r="AR9" s="24">
        <v>8</v>
      </c>
    </row>
    <row r="10" spans="1:47">
      <c r="G10" s="52" t="s">
        <v>358</v>
      </c>
      <c r="H10">
        <v>9</v>
      </c>
      <c r="M10" t="s">
        <v>359</v>
      </c>
      <c r="N10">
        <v>9</v>
      </c>
      <c r="V10" t="s">
        <v>360</v>
      </c>
      <c r="W10">
        <v>9</v>
      </c>
      <c r="AB10" s="121" t="s">
        <v>361</v>
      </c>
      <c r="AC10" s="121">
        <v>9</v>
      </c>
      <c r="AQ10" s="24" t="s">
        <v>362</v>
      </c>
      <c r="AR10" s="24">
        <v>9</v>
      </c>
    </row>
    <row r="11" spans="1:47">
      <c r="G11" s="52" t="s">
        <v>363</v>
      </c>
      <c r="H11">
        <v>10</v>
      </c>
      <c r="M11" s="127" t="s">
        <v>364</v>
      </c>
      <c r="N11">
        <v>10</v>
      </c>
      <c r="V11" t="s">
        <v>365</v>
      </c>
      <c r="W11">
        <v>10</v>
      </c>
      <c r="AB11" s="121" t="s">
        <v>366</v>
      </c>
      <c r="AC11" s="121">
        <v>10</v>
      </c>
      <c r="AQ11" s="24" t="s">
        <v>367</v>
      </c>
      <c r="AR11" s="24">
        <v>10</v>
      </c>
    </row>
    <row r="12" spans="1:47">
      <c r="G12" s="122" t="s">
        <v>368</v>
      </c>
      <c r="H12">
        <v>11</v>
      </c>
      <c r="AB12" s="123" t="s">
        <v>369</v>
      </c>
      <c r="AC12" s="128">
        <v>11</v>
      </c>
      <c r="AQ12" s="24" t="s">
        <v>370</v>
      </c>
      <c r="AR12" s="24">
        <v>11</v>
      </c>
    </row>
    <row r="13" spans="1:47">
      <c r="G13" s="122" t="s">
        <v>371</v>
      </c>
      <c r="H13">
        <v>12</v>
      </c>
      <c r="AB13" s="121" t="s">
        <v>372</v>
      </c>
      <c r="AC13" s="121">
        <v>12</v>
      </c>
      <c r="AQ13" s="24" t="s">
        <v>373</v>
      </c>
      <c r="AR13" s="24">
        <v>12</v>
      </c>
    </row>
    <row r="14" spans="1:47">
      <c r="G14" s="53" t="s">
        <v>374</v>
      </c>
      <c r="H14">
        <v>13</v>
      </c>
      <c r="AB14" s="121" t="s">
        <v>375</v>
      </c>
      <c r="AC14" s="121">
        <v>13</v>
      </c>
      <c r="AQ14" s="24" t="s">
        <v>376</v>
      </c>
      <c r="AR14" s="24">
        <v>13</v>
      </c>
    </row>
    <row r="15" spans="1:47">
      <c r="G15" s="53" t="s">
        <v>377</v>
      </c>
      <c r="H15">
        <v>14</v>
      </c>
      <c r="AB15" s="121" t="s">
        <v>378</v>
      </c>
      <c r="AC15" s="121">
        <v>14</v>
      </c>
      <c r="AQ15" s="24" t="s">
        <v>379</v>
      </c>
      <c r="AR15" s="24">
        <v>14</v>
      </c>
    </row>
    <row r="16" spans="1:47">
      <c r="G16" s="52" t="s">
        <v>380</v>
      </c>
      <c r="H16">
        <v>15</v>
      </c>
      <c r="AB16" s="129" t="s">
        <v>381</v>
      </c>
      <c r="AC16" s="121">
        <v>15</v>
      </c>
      <c r="AQ16" s="24" t="s">
        <v>382</v>
      </c>
      <c r="AR16" s="24">
        <v>15</v>
      </c>
    </row>
    <row r="17" spans="7:44">
      <c r="G17" s="52" t="s">
        <v>383</v>
      </c>
      <c r="H17">
        <v>16</v>
      </c>
      <c r="AB17" s="130" t="s">
        <v>384</v>
      </c>
      <c r="AC17" s="121">
        <v>16</v>
      </c>
      <c r="AQ17" s="24" t="s">
        <v>385</v>
      </c>
      <c r="AR17" s="24">
        <v>16</v>
      </c>
    </row>
    <row r="18" spans="7:44">
      <c r="G18" s="131" t="s">
        <v>386</v>
      </c>
      <c r="H18">
        <v>17</v>
      </c>
      <c r="AB18" s="130" t="s">
        <v>387</v>
      </c>
      <c r="AC18" s="121">
        <v>17</v>
      </c>
      <c r="AQ18" s="24" t="s">
        <v>388</v>
      </c>
      <c r="AR18" s="24">
        <v>17</v>
      </c>
    </row>
    <row r="19" spans="7:44">
      <c r="G19" s="131" t="s">
        <v>389</v>
      </c>
      <c r="H19">
        <v>18</v>
      </c>
      <c r="AB19" s="130" t="s">
        <v>390</v>
      </c>
      <c r="AC19" s="121">
        <v>18</v>
      </c>
      <c r="AE19" s="57"/>
      <c r="AQ19" s="24" t="s">
        <v>391</v>
      </c>
      <c r="AR19" s="24">
        <v>18</v>
      </c>
    </row>
    <row r="20" spans="7:44">
      <c r="G20" s="131" t="s">
        <v>392</v>
      </c>
      <c r="H20">
        <v>19</v>
      </c>
      <c r="AB20" s="132" t="s">
        <v>393</v>
      </c>
      <c r="AC20" s="130">
        <v>19</v>
      </c>
      <c r="AQ20" s="24" t="s">
        <v>394</v>
      </c>
      <c r="AR20" s="24">
        <v>19</v>
      </c>
    </row>
    <row r="21" spans="7:44">
      <c r="G21" s="131" t="s">
        <v>395</v>
      </c>
      <c r="H21">
        <v>20</v>
      </c>
      <c r="AB21" s="128" t="s">
        <v>396</v>
      </c>
      <c r="AC21" s="121">
        <v>20</v>
      </c>
      <c r="AQ21" s="24" t="s">
        <v>397</v>
      </c>
      <c r="AR21" s="24">
        <v>20</v>
      </c>
    </row>
    <row r="22" spans="7:44">
      <c r="G22" s="46" t="s">
        <v>398</v>
      </c>
      <c r="H22">
        <v>21</v>
      </c>
      <c r="AB22" s="18" t="s">
        <v>399</v>
      </c>
      <c r="AC22" s="18">
        <v>21</v>
      </c>
      <c r="AQ22" s="24" t="s">
        <v>400</v>
      </c>
      <c r="AR22" s="24">
        <v>21</v>
      </c>
    </row>
    <row r="23" spans="7:44">
      <c r="G23" s="131" t="s">
        <v>401</v>
      </c>
      <c r="H23" s="21">
        <v>22</v>
      </c>
      <c r="AB23" s="18" t="s">
        <v>402</v>
      </c>
      <c r="AC23" s="18">
        <v>22</v>
      </c>
      <c r="AQ23" s="24" t="s">
        <v>403</v>
      </c>
      <c r="AR23" s="24">
        <v>22</v>
      </c>
    </row>
    <row r="24" spans="7:44">
      <c r="G24" s="52" t="s">
        <v>404</v>
      </c>
      <c r="H24">
        <v>23</v>
      </c>
      <c r="AB24" s="133" t="s">
        <v>405</v>
      </c>
      <c r="AC24" s="133">
        <v>23</v>
      </c>
      <c r="AQ24" s="24" t="s">
        <v>406</v>
      </c>
      <c r="AR24" s="24">
        <v>23</v>
      </c>
    </row>
    <row r="25" spans="7:44">
      <c r="G25" s="52" t="s">
        <v>407</v>
      </c>
      <c r="H25">
        <v>24</v>
      </c>
      <c r="AB25" s="133" t="s">
        <v>408</v>
      </c>
      <c r="AC25" s="133">
        <v>24</v>
      </c>
      <c r="AQ25" s="24" t="s">
        <v>409</v>
      </c>
      <c r="AR25" s="24">
        <v>24</v>
      </c>
    </row>
    <row r="26" spans="7:44">
      <c r="G26" s="47" t="s">
        <v>410</v>
      </c>
      <c r="H26">
        <v>25</v>
      </c>
      <c r="AB26" s="133" t="s">
        <v>411</v>
      </c>
      <c r="AC26" s="133">
        <v>25</v>
      </c>
      <c r="AQ26" s="24" t="s">
        <v>412</v>
      </c>
      <c r="AR26" s="24">
        <v>25</v>
      </c>
    </row>
    <row r="27" spans="7:44">
      <c r="G27" s="122" t="s">
        <v>413</v>
      </c>
      <c r="H27">
        <v>26</v>
      </c>
      <c r="AB27" s="134" t="s">
        <v>414</v>
      </c>
      <c r="AC27" s="133">
        <v>26</v>
      </c>
      <c r="AQ27" s="24" t="s">
        <v>415</v>
      </c>
      <c r="AR27" s="24">
        <v>26</v>
      </c>
    </row>
    <row r="28" spans="7:44">
      <c r="G28" s="122" t="s">
        <v>416</v>
      </c>
      <c r="H28">
        <v>27</v>
      </c>
      <c r="AB28" s="24" t="s">
        <v>417</v>
      </c>
      <c r="AC28" s="133">
        <v>27</v>
      </c>
      <c r="AQ28" s="24" t="s">
        <v>418</v>
      </c>
      <c r="AR28" s="24">
        <v>27</v>
      </c>
    </row>
    <row r="29" spans="7:44">
      <c r="G29" s="22" t="s">
        <v>419</v>
      </c>
      <c r="H29" s="22">
        <v>28</v>
      </c>
      <c r="AB29" s="133" t="s">
        <v>420</v>
      </c>
      <c r="AC29" s="133">
        <v>28</v>
      </c>
      <c r="AQ29" s="24" t="s">
        <v>421</v>
      </c>
      <c r="AR29" s="24">
        <v>28</v>
      </c>
    </row>
    <row r="30" spans="7:44">
      <c r="G30" s="53" t="s">
        <v>422</v>
      </c>
      <c r="H30">
        <v>29</v>
      </c>
      <c r="AB30" s="133" t="s">
        <v>423</v>
      </c>
      <c r="AC30" s="133">
        <v>29</v>
      </c>
      <c r="AQ30" s="24" t="s">
        <v>424</v>
      </c>
      <c r="AR30" s="24">
        <v>29</v>
      </c>
    </row>
    <row r="31" spans="7:44">
      <c r="G31" s="53" t="s">
        <v>425</v>
      </c>
      <c r="H31">
        <v>30</v>
      </c>
      <c r="AB31" s="133" t="s">
        <v>426</v>
      </c>
      <c r="AC31" s="133">
        <v>30</v>
      </c>
      <c r="AQ31" s="24" t="s">
        <v>427</v>
      </c>
      <c r="AR31" s="24">
        <v>30</v>
      </c>
    </row>
    <row r="32" spans="7:44">
      <c r="G32" s="53" t="s">
        <v>428</v>
      </c>
      <c r="H32">
        <v>31</v>
      </c>
      <c r="AQ32" s="24" t="s">
        <v>429</v>
      </c>
      <c r="AR32" s="24">
        <v>31</v>
      </c>
    </row>
    <row r="33" spans="7:44">
      <c r="G33" s="53" t="s">
        <v>430</v>
      </c>
      <c r="H33">
        <v>32</v>
      </c>
      <c r="AQ33" s="24" t="s">
        <v>431</v>
      </c>
      <c r="AR33" s="24">
        <v>32</v>
      </c>
    </row>
    <row r="34" spans="7:44">
      <c r="G34" s="131" t="s">
        <v>432</v>
      </c>
      <c r="H34">
        <v>33</v>
      </c>
      <c r="AQ34" s="24" t="s">
        <v>433</v>
      </c>
      <c r="AR34" s="24">
        <v>33</v>
      </c>
    </row>
    <row r="35" spans="7:44">
      <c r="G35" t="s">
        <v>434</v>
      </c>
      <c r="H35">
        <v>34</v>
      </c>
      <c r="AQ35" s="24" t="s">
        <v>435</v>
      </c>
      <c r="AR35" s="24">
        <v>34</v>
      </c>
    </row>
    <row r="36" spans="7:44">
      <c r="G36" s="53" t="s">
        <v>436</v>
      </c>
      <c r="H36">
        <v>35</v>
      </c>
      <c r="AQ36" s="30" t="s">
        <v>437</v>
      </c>
      <c r="AR36" s="24">
        <v>35</v>
      </c>
    </row>
    <row r="37" spans="7:44">
      <c r="G37" t="s">
        <v>438</v>
      </c>
      <c r="H37">
        <v>36</v>
      </c>
      <c r="AQ37" s="30" t="s">
        <v>439</v>
      </c>
      <c r="AR37" s="24">
        <v>36</v>
      </c>
    </row>
    <row r="38" spans="7:44">
      <c r="G38" s="50" t="s">
        <v>440</v>
      </c>
      <c r="H38">
        <v>37</v>
      </c>
      <c r="AQ38" s="30" t="s">
        <v>441</v>
      </c>
      <c r="AR38" s="24">
        <v>37</v>
      </c>
    </row>
    <row r="39" spans="7:44">
      <c r="G39" s="50" t="s">
        <v>442</v>
      </c>
      <c r="H39">
        <v>38</v>
      </c>
      <c r="AQ39" s="30" t="s">
        <v>443</v>
      </c>
      <c r="AR39" s="24">
        <v>38</v>
      </c>
    </row>
    <row r="40" spans="7:44">
      <c r="G40" t="s">
        <v>444</v>
      </c>
      <c r="H40">
        <v>39</v>
      </c>
      <c r="AQ40" s="24" t="s">
        <v>445</v>
      </c>
      <c r="AR40" s="24">
        <v>39</v>
      </c>
    </row>
    <row r="41" spans="7:44">
      <c r="G41" s="53" t="s">
        <v>446</v>
      </c>
      <c r="H41">
        <v>40</v>
      </c>
      <c r="AQ41" s="24" t="s">
        <v>447</v>
      </c>
      <c r="AR41" s="24">
        <v>40</v>
      </c>
    </row>
    <row r="42" spans="7:44">
      <c r="G42" t="s">
        <v>448</v>
      </c>
      <c r="H42">
        <v>41</v>
      </c>
      <c r="AQ42" s="24" t="s">
        <v>449</v>
      </c>
      <c r="AR42" s="24">
        <v>41</v>
      </c>
    </row>
    <row r="43" spans="7:44">
      <c r="G43" t="s">
        <v>450</v>
      </c>
      <c r="H43">
        <v>42</v>
      </c>
      <c r="AQ43" s="24" t="s">
        <v>451</v>
      </c>
      <c r="AR43" s="24">
        <v>42</v>
      </c>
    </row>
    <row r="44" spans="7:44">
      <c r="G44" s="47" t="s">
        <v>452</v>
      </c>
      <c r="H44">
        <v>43</v>
      </c>
      <c r="AQ44" s="24" t="s">
        <v>453</v>
      </c>
      <c r="AR44" s="24">
        <v>43</v>
      </c>
    </row>
    <row r="45" spans="7:44">
      <c r="G45" t="s">
        <v>454</v>
      </c>
      <c r="H45">
        <v>44</v>
      </c>
      <c r="AQ45" s="30" t="s">
        <v>455</v>
      </c>
      <c r="AR45" s="24">
        <v>44</v>
      </c>
    </row>
    <row r="46" spans="7:44">
      <c r="G46" s="47" t="s">
        <v>456</v>
      </c>
      <c r="H46">
        <v>45</v>
      </c>
      <c r="AQ46" s="30" t="s">
        <v>457</v>
      </c>
      <c r="AR46" s="24">
        <v>45</v>
      </c>
    </row>
    <row r="47" spans="7:44">
      <c r="G47" s="53" t="s">
        <v>458</v>
      </c>
      <c r="H47">
        <v>46</v>
      </c>
      <c r="AQ47" s="30" t="s">
        <v>459</v>
      </c>
      <c r="AR47" s="24">
        <v>46</v>
      </c>
    </row>
    <row r="48" spans="7:44">
      <c r="G48" t="s">
        <v>460</v>
      </c>
      <c r="H48">
        <v>47</v>
      </c>
      <c r="AQ48" s="24" t="s">
        <v>461</v>
      </c>
      <c r="AR48" s="24">
        <v>47</v>
      </c>
    </row>
    <row r="49" spans="7:44">
      <c r="G49" s="122" t="s">
        <v>462</v>
      </c>
      <c r="H49">
        <v>48</v>
      </c>
      <c r="AQ49" s="24" t="s">
        <v>463</v>
      </c>
      <c r="AR49" s="24">
        <v>48</v>
      </c>
    </row>
    <row r="50" spans="7:44">
      <c r="G50" s="122" t="s">
        <v>464</v>
      </c>
      <c r="H50">
        <v>49</v>
      </c>
      <c r="AQ50" s="24" t="s">
        <v>465</v>
      </c>
      <c r="AR50" s="24">
        <v>49</v>
      </c>
    </row>
    <row r="51" spans="7:44">
      <c r="G51" s="50" t="s">
        <v>466</v>
      </c>
      <c r="H51">
        <v>50</v>
      </c>
      <c r="AQ51" s="24" t="s">
        <v>467</v>
      </c>
      <c r="AR51" s="24">
        <v>50</v>
      </c>
    </row>
    <row r="52" spans="7:44">
      <c r="G52" s="47" t="s">
        <v>468</v>
      </c>
      <c r="H52">
        <v>51</v>
      </c>
      <c r="AQ52" s="24" t="s">
        <v>469</v>
      </c>
      <c r="AR52" s="24">
        <v>51</v>
      </c>
    </row>
    <row r="53" spans="7:44">
      <c r="G53" s="47" t="s">
        <v>470</v>
      </c>
      <c r="H53">
        <v>52</v>
      </c>
      <c r="AQ53" s="24" t="s">
        <v>471</v>
      </c>
      <c r="AR53" s="24">
        <v>52</v>
      </c>
    </row>
    <row r="54" spans="7:44">
      <c r="G54" t="s">
        <v>472</v>
      </c>
      <c r="H54">
        <v>53</v>
      </c>
      <c r="AQ54" s="24" t="s">
        <v>473</v>
      </c>
      <c r="AR54" s="24">
        <v>53</v>
      </c>
    </row>
    <row r="55" spans="7:44">
      <c r="G55" s="131" t="s">
        <v>474</v>
      </c>
      <c r="H55">
        <v>54</v>
      </c>
      <c r="AQ55" s="24" t="s">
        <v>475</v>
      </c>
      <c r="AR55" s="24">
        <v>54</v>
      </c>
    </row>
    <row r="56" spans="7:44">
      <c r="G56" s="50" t="s">
        <v>476</v>
      </c>
      <c r="H56">
        <v>55</v>
      </c>
      <c r="AQ56" s="24" t="s">
        <v>477</v>
      </c>
      <c r="AR56" s="24">
        <v>55</v>
      </c>
    </row>
    <row r="57" spans="7:44">
      <c r="G57" t="s">
        <v>478</v>
      </c>
      <c r="H57">
        <v>56</v>
      </c>
      <c r="AQ57" s="24" t="s">
        <v>479</v>
      </c>
      <c r="AR57" s="24">
        <v>56</v>
      </c>
    </row>
    <row r="58" spans="7:44">
      <c r="G58" t="s">
        <v>480</v>
      </c>
      <c r="H58">
        <v>57</v>
      </c>
      <c r="AQ58" s="24" t="s">
        <v>481</v>
      </c>
      <c r="AR58" s="24">
        <v>57</v>
      </c>
    </row>
    <row r="59" spans="7:44">
      <c r="G59" s="131" t="s">
        <v>482</v>
      </c>
      <c r="H59">
        <v>58</v>
      </c>
      <c r="AQ59" s="24" t="s">
        <v>483</v>
      </c>
      <c r="AR59" s="24">
        <v>58</v>
      </c>
    </row>
    <row r="60" spans="7:44">
      <c r="G60" s="131" t="s">
        <v>484</v>
      </c>
      <c r="H60">
        <v>59</v>
      </c>
      <c r="AQ60" s="135" t="s">
        <v>485</v>
      </c>
      <c r="AR60" s="24">
        <v>59</v>
      </c>
    </row>
    <row r="61" spans="7:44">
      <c r="G61" s="131" t="s">
        <v>486</v>
      </c>
      <c r="H61">
        <v>60</v>
      </c>
      <c r="AQ61" s="135" t="s">
        <v>487</v>
      </c>
      <c r="AR61" s="24">
        <v>60</v>
      </c>
    </row>
    <row r="62" spans="7:44">
      <c r="G62" s="53" t="s">
        <v>488</v>
      </c>
      <c r="H62">
        <v>61</v>
      </c>
      <c r="AQ62" s="136" t="s">
        <v>489</v>
      </c>
      <c r="AR62" s="16">
        <v>61</v>
      </c>
    </row>
    <row r="63" spans="7:44">
      <c r="G63" t="s">
        <v>490</v>
      </c>
      <c r="H63">
        <v>62</v>
      </c>
      <c r="J63" s="15"/>
      <c r="AQ63" s="136" t="s">
        <v>491</v>
      </c>
      <c r="AR63" s="16">
        <v>62</v>
      </c>
    </row>
    <row r="64" spans="7:44">
      <c r="G64" s="14" t="s">
        <v>492</v>
      </c>
      <c r="H64">
        <v>63</v>
      </c>
      <c r="AQ64" s="136" t="s">
        <v>493</v>
      </c>
      <c r="AR64" s="16">
        <v>63</v>
      </c>
    </row>
    <row r="65" spans="7:44">
      <c r="G65" s="14" t="s">
        <v>494</v>
      </c>
      <c r="H65">
        <v>64</v>
      </c>
      <c r="AQ65" s="136" t="s">
        <v>495</v>
      </c>
      <c r="AR65" s="16">
        <v>64</v>
      </c>
    </row>
    <row r="66" spans="7:44">
      <c r="G66" s="122" t="s">
        <v>496</v>
      </c>
      <c r="H66">
        <v>65</v>
      </c>
      <c r="AQ66" s="136" t="s">
        <v>497</v>
      </c>
      <c r="AR66" s="16">
        <v>65</v>
      </c>
    </row>
    <row r="67" spans="7:44">
      <c r="G67" s="122" t="s">
        <v>498</v>
      </c>
      <c r="H67">
        <v>66</v>
      </c>
      <c r="AQ67" s="136" t="s">
        <v>499</v>
      </c>
      <c r="AR67" s="16">
        <v>66</v>
      </c>
    </row>
    <row r="68" spans="7:44">
      <c r="G68" s="122" t="s">
        <v>500</v>
      </c>
      <c r="H68">
        <v>67</v>
      </c>
      <c r="AQ68" s="136" t="s">
        <v>501</v>
      </c>
      <c r="AR68" s="16">
        <v>67</v>
      </c>
    </row>
    <row r="69" spans="7:44">
      <c r="G69" s="122" t="s">
        <v>502</v>
      </c>
      <c r="H69">
        <v>68</v>
      </c>
      <c r="AQ69" s="137" t="s">
        <v>503</v>
      </c>
      <c r="AR69" s="24">
        <v>68</v>
      </c>
    </row>
    <row r="70" spans="7:44">
      <c r="G70" s="53" t="s">
        <v>504</v>
      </c>
      <c r="H70">
        <v>69</v>
      </c>
      <c r="AQ70" s="137" t="s">
        <v>505</v>
      </c>
      <c r="AR70" s="24">
        <v>69</v>
      </c>
    </row>
    <row r="71" spans="7:44">
      <c r="G71" s="53" t="s">
        <v>506</v>
      </c>
      <c r="H71">
        <v>70</v>
      </c>
      <c r="AQ71" s="136" t="s">
        <v>507</v>
      </c>
      <c r="AR71" s="24">
        <v>70</v>
      </c>
    </row>
    <row r="72" spans="7:44">
      <c r="G72" s="53" t="s">
        <v>508</v>
      </c>
      <c r="H72">
        <v>71</v>
      </c>
      <c r="AQ72" s="136" t="s">
        <v>509</v>
      </c>
      <c r="AR72" s="24">
        <v>71</v>
      </c>
    </row>
    <row r="73" spans="7:44">
      <c r="G73" s="53" t="s">
        <v>510</v>
      </c>
      <c r="H73">
        <v>72</v>
      </c>
      <c r="AQ73" s="136" t="s">
        <v>511</v>
      </c>
      <c r="AR73" s="16">
        <v>72</v>
      </c>
    </row>
    <row r="74" spans="7:44">
      <c r="G74" s="122" t="s">
        <v>512</v>
      </c>
      <c r="H74">
        <v>73</v>
      </c>
      <c r="AQ74" s="136" t="s">
        <v>513</v>
      </c>
      <c r="AR74" s="16">
        <v>73</v>
      </c>
    </row>
    <row r="75" spans="7:44">
      <c r="G75" s="138" t="s">
        <v>514</v>
      </c>
      <c r="H75">
        <v>74</v>
      </c>
      <c r="AQ75" s="136" t="s">
        <v>515</v>
      </c>
      <c r="AR75" s="16">
        <v>74</v>
      </c>
    </row>
    <row r="76" spans="7:44">
      <c r="G76" s="46" t="s">
        <v>516</v>
      </c>
      <c r="H76">
        <v>75</v>
      </c>
      <c r="AQ76" s="136" t="s">
        <v>517</v>
      </c>
      <c r="AR76" s="16">
        <v>75</v>
      </c>
    </row>
    <row r="77" spans="7:44">
      <c r="G77" s="46" t="s">
        <v>518</v>
      </c>
      <c r="H77">
        <v>76</v>
      </c>
      <c r="AQ77" s="136" t="s">
        <v>519</v>
      </c>
      <c r="AR77" s="16">
        <v>76</v>
      </c>
    </row>
    <row r="78" spans="7:44">
      <c r="G78" s="46" t="s">
        <v>520</v>
      </c>
      <c r="H78">
        <v>77</v>
      </c>
    </row>
    <row r="79" spans="7:44">
      <c r="G79" t="s">
        <v>521</v>
      </c>
      <c r="H79">
        <v>78</v>
      </c>
    </row>
    <row r="80" spans="7:44">
      <c r="G80" t="s">
        <v>522</v>
      </c>
      <c r="H80">
        <v>79</v>
      </c>
    </row>
    <row r="81" spans="7:8">
      <c r="G81" s="24" t="s">
        <v>523</v>
      </c>
      <c r="H81">
        <v>80</v>
      </c>
    </row>
    <row r="82" spans="7:8">
      <c r="G82" t="s">
        <v>524</v>
      </c>
      <c r="H82">
        <v>81</v>
      </c>
    </row>
    <row r="83" spans="7:8">
      <c r="G83" t="s">
        <v>525</v>
      </c>
      <c r="H83">
        <v>82</v>
      </c>
    </row>
    <row r="84" spans="7:8">
      <c r="G84" t="s">
        <v>526</v>
      </c>
      <c r="H84">
        <v>83</v>
      </c>
    </row>
    <row r="85" spans="7:8">
      <c r="G85" t="s">
        <v>527</v>
      </c>
      <c r="H85">
        <v>84</v>
      </c>
    </row>
    <row r="86" spans="7:8">
      <c r="G86" t="s">
        <v>528</v>
      </c>
      <c r="H86">
        <v>85</v>
      </c>
    </row>
    <row r="87" spans="7:8">
      <c r="G87" t="s">
        <v>529</v>
      </c>
      <c r="H87">
        <v>86</v>
      </c>
    </row>
    <row r="88" spans="7:8">
      <c r="G88" t="s">
        <v>530</v>
      </c>
      <c r="H88">
        <v>87</v>
      </c>
    </row>
    <row r="89" spans="7:8">
      <c r="G89" t="s">
        <v>531</v>
      </c>
      <c r="H89">
        <v>88</v>
      </c>
    </row>
    <row r="90" spans="7:8">
      <c r="G90" t="s">
        <v>532</v>
      </c>
      <c r="H90">
        <v>89</v>
      </c>
    </row>
    <row r="91" spans="7:8">
      <c r="G91" t="s">
        <v>533</v>
      </c>
      <c r="H91">
        <v>90</v>
      </c>
    </row>
    <row r="92" spans="7:8">
      <c r="G92" t="s">
        <v>534</v>
      </c>
      <c r="H92">
        <v>91</v>
      </c>
    </row>
    <row r="93" spans="7:8">
      <c r="G93" t="s">
        <v>535</v>
      </c>
      <c r="H93">
        <v>92</v>
      </c>
    </row>
  </sheetData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E29" sqref="E29"/>
    </sheetView>
  </sheetViews>
  <sheetFormatPr defaultColWidth="9.14285714285714" defaultRowHeight="15" outlineLevelCol="3"/>
  <cols>
    <col min="1" max="1" width="20.4285714285714" customWidth="1"/>
    <col min="2" max="2" width="24" customWidth="1"/>
    <col min="3" max="3" width="11" customWidth="1"/>
    <col min="4" max="4" width="27" customWidth="1"/>
    <col min="5" max="5" width="18.5714285714286" customWidth="1"/>
    <col min="6" max="6" width="17" customWidth="1"/>
    <col min="7" max="7" width="22" customWidth="1"/>
    <col min="8" max="8" width="11.8571428571429" customWidth="1"/>
  </cols>
  <sheetData>
    <row r="1" spans="1:4">
      <c r="A1" t="s">
        <v>536</v>
      </c>
      <c r="B1" t="s">
        <v>537</v>
      </c>
      <c r="C1" t="s">
        <v>1</v>
      </c>
      <c r="D1" t="s">
        <v>2</v>
      </c>
    </row>
    <row r="2" spans="1:4">
      <c r="A2" s="118" t="s">
        <v>538</v>
      </c>
      <c r="B2" s="119" t="s">
        <v>539</v>
      </c>
      <c r="C2" t="s">
        <v>4</v>
      </c>
      <c r="D2" s="119">
        <v>1000</v>
      </c>
    </row>
    <row r="3" spans="1:4">
      <c r="A3" s="118"/>
      <c r="B3" s="119" t="s">
        <v>540</v>
      </c>
      <c r="C3" t="s">
        <v>4</v>
      </c>
      <c r="D3" s="119">
        <v>50</v>
      </c>
    </row>
    <row r="4" spans="1:4">
      <c r="A4" s="118"/>
      <c r="B4" s="119" t="s">
        <v>541</v>
      </c>
      <c r="C4" t="s">
        <v>4</v>
      </c>
      <c r="D4" s="119">
        <v>200</v>
      </c>
    </row>
    <row r="5" spans="1:4">
      <c r="A5" s="118"/>
      <c r="B5" s="119" t="s">
        <v>542</v>
      </c>
      <c r="C5" t="s">
        <v>4</v>
      </c>
      <c r="D5" s="119">
        <v>100</v>
      </c>
    </row>
    <row r="6" spans="1:4">
      <c r="A6" s="118"/>
      <c r="B6" s="119" t="s">
        <v>543</v>
      </c>
      <c r="C6" t="s">
        <v>4</v>
      </c>
      <c r="D6" s="119">
        <v>30</v>
      </c>
    </row>
    <row r="7" spans="1:4">
      <c r="A7" s="118"/>
      <c r="B7" s="119" t="s">
        <v>544</v>
      </c>
      <c r="C7" t="s">
        <v>4</v>
      </c>
      <c r="D7" s="119">
        <v>300</v>
      </c>
    </row>
    <row r="8" spans="1:4">
      <c r="A8" s="120"/>
      <c r="B8" s="120"/>
      <c r="C8" s="120"/>
      <c r="D8" s="120"/>
    </row>
    <row r="9" spans="1:4">
      <c r="A9" s="118" t="s">
        <v>545</v>
      </c>
      <c r="B9" s="119" t="s">
        <v>546</v>
      </c>
      <c r="C9" t="s">
        <v>4</v>
      </c>
      <c r="D9" s="119">
        <v>100</v>
      </c>
    </row>
    <row r="10" spans="1:4">
      <c r="A10" s="118"/>
      <c r="B10" s="119" t="s">
        <v>547</v>
      </c>
      <c r="C10" t="s">
        <v>6</v>
      </c>
      <c r="D10" s="119">
        <v>5.5</v>
      </c>
    </row>
    <row r="11" spans="1:4">
      <c r="A11" s="118"/>
      <c r="B11" s="119" t="s">
        <v>548</v>
      </c>
      <c r="C11" t="s">
        <v>4</v>
      </c>
      <c r="D11" s="119">
        <v>3</v>
      </c>
    </row>
    <row r="12" spans="1:4">
      <c r="A12" s="118"/>
      <c r="B12" s="119" t="s">
        <v>549</v>
      </c>
      <c r="C12" t="s">
        <v>4</v>
      </c>
      <c r="D12" s="119">
        <v>50</v>
      </c>
    </row>
    <row r="13" spans="1:4">
      <c r="A13" s="118"/>
      <c r="B13" s="119" t="s">
        <v>550</v>
      </c>
      <c r="C13" t="s">
        <v>14</v>
      </c>
      <c r="D13" s="119" t="s">
        <v>551</v>
      </c>
    </row>
    <row r="14" spans="1:4">
      <c r="A14" s="118"/>
      <c r="B14" s="119" t="s">
        <v>552</v>
      </c>
      <c r="C14" t="s">
        <v>14</v>
      </c>
      <c r="D14" s="119" t="s">
        <v>553</v>
      </c>
    </row>
    <row r="15" spans="1:4">
      <c r="A15" s="120"/>
      <c r="B15" s="120"/>
      <c r="C15" s="120"/>
      <c r="D15" s="120"/>
    </row>
    <row r="16" spans="1:4">
      <c r="A16" s="118" t="s">
        <v>554</v>
      </c>
      <c r="B16" s="119" t="s">
        <v>555</v>
      </c>
      <c r="C16" t="s">
        <v>556</v>
      </c>
      <c r="D16" s="119" t="b">
        <v>0</v>
      </c>
    </row>
    <row r="17" spans="1:4">
      <c r="A17" s="118"/>
      <c r="B17" s="119" t="s">
        <v>557</v>
      </c>
      <c r="C17" t="s">
        <v>23</v>
      </c>
      <c r="D17" s="119" t="s">
        <v>558</v>
      </c>
    </row>
    <row r="18" spans="1:4">
      <c r="A18" s="118"/>
      <c r="B18" s="119" t="s">
        <v>559</v>
      </c>
      <c r="C18" t="s">
        <v>556</v>
      </c>
      <c r="D18" s="119" t="b">
        <v>1</v>
      </c>
    </row>
    <row r="19" spans="1:4">
      <c r="A19" s="118"/>
      <c r="B19" s="119" t="s">
        <v>560</v>
      </c>
      <c r="C19" t="s">
        <v>556</v>
      </c>
      <c r="D19" s="119" t="b">
        <v>0</v>
      </c>
    </row>
    <row r="20" spans="1:4">
      <c r="A20" s="118"/>
      <c r="B20" s="119" t="s">
        <v>561</v>
      </c>
      <c r="C20" t="s">
        <v>4</v>
      </c>
      <c r="D20" s="119">
        <v>45</v>
      </c>
    </row>
    <row r="21" spans="1:4">
      <c r="A21" s="118"/>
      <c r="B21" s="119" t="s">
        <v>562</v>
      </c>
      <c r="C21" t="s">
        <v>23</v>
      </c>
      <c r="D21" s="119" t="s">
        <v>563</v>
      </c>
    </row>
    <row r="22" spans="1:4">
      <c r="A22" s="120"/>
      <c r="B22" s="120"/>
      <c r="C22" s="120"/>
      <c r="D22" s="120"/>
    </row>
    <row r="23" spans="1:4">
      <c r="B23" t="s">
        <v>564</v>
      </c>
      <c r="C23" t="s">
        <v>565</v>
      </c>
      <c r="D23" t="s">
        <v>566</v>
      </c>
    </row>
    <row r="24" spans="1:4">
      <c r="B24" t="s">
        <v>567</v>
      </c>
      <c r="C24" t="s">
        <v>41</v>
      </c>
      <c r="D24" t="s">
        <v>568</v>
      </c>
    </row>
  </sheetData>
  <mergeCells count="3">
    <mergeCell ref="A2:A7"/>
    <mergeCell ref="A9:A14"/>
    <mergeCell ref="A16:A2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G4" sqref="G4"/>
    </sheetView>
  </sheetViews>
  <sheetFormatPr defaultColWidth="8.71428571428571" defaultRowHeight="15" outlineLevelRow="1" outlineLevelCol="7"/>
  <cols>
    <col min="1" max="1" width="2.71428571428571" customWidth="1"/>
    <col min="2" max="2" width="7.28571428571429" customWidth="1"/>
    <col min="3" max="3" width="3.28571428571429" customWidth="1"/>
    <col min="4" max="4" width="5.14285714285714" customWidth="1"/>
    <col min="5" max="5" width="3.71428571428571" customWidth="1"/>
    <col min="6" max="6" width="11.5714285714286" customWidth="1"/>
    <col min="7" max="7" width="13.1428571428571" customWidth="1"/>
    <col min="8" max="8" width="19.8571428571429" customWidth="1"/>
  </cols>
  <sheetData>
    <row r="1" spans="1:8">
      <c r="A1" t="s">
        <v>250</v>
      </c>
      <c r="B1" t="s">
        <v>569</v>
      </c>
      <c r="C1" t="s">
        <v>570</v>
      </c>
      <c r="D1" t="s">
        <v>571</v>
      </c>
      <c r="E1" t="s">
        <v>572</v>
      </c>
      <c r="F1" t="s">
        <v>547</v>
      </c>
      <c r="G1" t="s">
        <v>573</v>
      </c>
      <c r="H1" t="s">
        <v>574</v>
      </c>
    </row>
    <row r="2" spans="1:8">
      <c r="A2">
        <v>1</v>
      </c>
      <c r="B2" t="s">
        <v>575</v>
      </c>
      <c r="C2">
        <v>1</v>
      </c>
      <c r="D2">
        <v>4</v>
      </c>
      <c r="E2">
        <v>45</v>
      </c>
      <c r="F2">
        <v>8</v>
      </c>
      <c r="G2">
        <v>5</v>
      </c>
      <c r="H2">
        <v>100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workbookViewId="0">
      <selection activeCell="F40" sqref="F40"/>
    </sheetView>
  </sheetViews>
  <sheetFormatPr defaultColWidth="9.14285714285714" defaultRowHeight="15"/>
  <cols>
    <col min="1" max="1" width="22.2857142857143" style="15" customWidth="1"/>
    <col min="2" max="2" width="20" style="15" customWidth="1"/>
    <col min="3" max="3" width="6" style="15" customWidth="1"/>
    <col min="4" max="4" width="10.8571428571429" style="15" customWidth="1"/>
    <col min="5" max="5" width="13.4285714285714" style="15" customWidth="1"/>
    <col min="6" max="6" width="13.1428571428571" style="15" customWidth="1"/>
    <col min="7" max="7" width="19.8571428571429" style="15" customWidth="1"/>
    <col min="8" max="8" width="33" style="15" customWidth="1"/>
    <col min="9" max="9" width="9.28571428571429" style="15" customWidth="1"/>
    <col min="10" max="10" width="13.5714285714286" style="15" customWidth="1"/>
    <col min="11" max="11" width="15.5714285714286" style="15" customWidth="1"/>
    <col min="12" max="12" width="12.5714285714286" style="15" customWidth="1"/>
    <col min="13" max="13" width="12.2857142857143" style="15" customWidth="1"/>
    <col min="14" max="14" width="13" style="15" customWidth="1"/>
    <col min="15" max="15" width="16" style="15" customWidth="1"/>
    <col min="16" max="1023" width="9.14285714285714" style="15"/>
  </cols>
  <sheetData>
    <row r="1" spans="1:15">
      <c r="A1" s="15" t="s">
        <v>250</v>
      </c>
      <c r="B1" t="s">
        <v>569</v>
      </c>
      <c r="C1" s="15" t="s">
        <v>570</v>
      </c>
      <c r="D1" s="15" t="s">
        <v>576</v>
      </c>
      <c r="E1" s="15" t="s">
        <v>547</v>
      </c>
      <c r="F1" s="15" t="s">
        <v>573</v>
      </c>
      <c r="G1" s="15" t="s">
        <v>574</v>
      </c>
      <c r="H1" s="15" t="s">
        <v>577</v>
      </c>
      <c r="I1" s="15" t="s">
        <v>578</v>
      </c>
      <c r="J1" s="15" t="s">
        <v>579</v>
      </c>
      <c r="K1" s="15" t="s">
        <v>580</v>
      </c>
      <c r="L1" s="15" t="s">
        <v>581</v>
      </c>
      <c r="M1" s="15" t="s">
        <v>582</v>
      </c>
      <c r="N1" s="15" t="s">
        <v>583</v>
      </c>
      <c r="O1" s="15" t="s">
        <v>584</v>
      </c>
    </row>
    <row r="2" s="71" customFormat="1" spans="1:15">
      <c r="A2" s="86" t="s">
        <v>276</v>
      </c>
      <c r="B2" s="71" t="s">
        <v>585</v>
      </c>
      <c r="C2" s="71">
        <v>102</v>
      </c>
      <c r="D2" s="71" t="s">
        <v>279</v>
      </c>
      <c r="E2" s="87">
        <v>6</v>
      </c>
      <c r="F2" s="71">
        <v>5</v>
      </c>
      <c r="G2" s="71">
        <v>100</v>
      </c>
      <c r="H2" s="71" t="s">
        <v>586</v>
      </c>
      <c r="I2" s="71">
        <v>2</v>
      </c>
      <c r="J2">
        <f>I2*2.7</f>
        <v>5.4</v>
      </c>
      <c r="K2" s="71">
        <v>0</v>
      </c>
      <c r="L2" s="71">
        <f>I2</f>
        <v>2</v>
      </c>
      <c r="M2" s="71">
        <v>1</v>
      </c>
      <c r="N2" s="71">
        <v>0.12</v>
      </c>
      <c r="O2" s="71">
        <v>0.012</v>
      </c>
    </row>
    <row r="3" s="72" customFormat="1" spans="1:15">
      <c r="A3" s="88" t="s">
        <v>290</v>
      </c>
      <c r="B3" s="72" t="s">
        <v>587</v>
      </c>
      <c r="C3" s="72">
        <v>160</v>
      </c>
      <c r="D3" s="72" t="s">
        <v>279</v>
      </c>
      <c r="E3" s="89">
        <v>6</v>
      </c>
      <c r="F3" s="72">
        <v>5</v>
      </c>
      <c r="G3" s="72">
        <v>100</v>
      </c>
      <c r="H3" s="72" t="s">
        <v>588</v>
      </c>
      <c r="I3" s="72">
        <v>3</v>
      </c>
      <c r="J3">
        <f t="shared" ref="J3:J31" si="0">I3*2.7</f>
        <v>8.1</v>
      </c>
      <c r="K3" s="72">
        <v>0</v>
      </c>
      <c r="L3" s="72">
        <f t="shared" ref="L3:L28" si="1">I3</f>
        <v>3</v>
      </c>
      <c r="M3" s="72">
        <v>1</v>
      </c>
      <c r="N3" s="72">
        <v>0.12</v>
      </c>
      <c r="O3" s="72">
        <v>0.012</v>
      </c>
    </row>
    <row r="4" s="73" customFormat="1" spans="1:15">
      <c r="A4" s="90" t="s">
        <v>304</v>
      </c>
      <c r="B4" s="73" t="s">
        <v>589</v>
      </c>
      <c r="C4" s="73">
        <v>210</v>
      </c>
      <c r="D4" s="73" t="s">
        <v>279</v>
      </c>
      <c r="E4" s="91">
        <v>5</v>
      </c>
      <c r="F4" s="73">
        <v>5</v>
      </c>
      <c r="G4" s="73">
        <v>100</v>
      </c>
      <c r="H4" s="73" t="s">
        <v>590</v>
      </c>
      <c r="I4" s="73">
        <v>3</v>
      </c>
      <c r="J4">
        <f t="shared" si="0"/>
        <v>8.1</v>
      </c>
      <c r="K4" s="73">
        <v>0</v>
      </c>
      <c r="L4" s="73">
        <f t="shared" si="1"/>
        <v>3</v>
      </c>
      <c r="M4" s="73">
        <v>1</v>
      </c>
      <c r="N4" s="73">
        <v>0.12</v>
      </c>
      <c r="O4" s="73">
        <v>0.012</v>
      </c>
    </row>
    <row r="5" s="74" customFormat="1" spans="1:15">
      <c r="A5" s="92" t="s">
        <v>318</v>
      </c>
      <c r="B5" s="74" t="s">
        <v>591</v>
      </c>
      <c r="C5" s="93">
        <v>3300</v>
      </c>
      <c r="D5" s="74" t="s">
        <v>293</v>
      </c>
      <c r="E5" s="94">
        <v>7</v>
      </c>
      <c r="F5" s="74">
        <v>5</v>
      </c>
      <c r="G5" s="74">
        <v>100</v>
      </c>
      <c r="H5" s="74" t="s">
        <v>592</v>
      </c>
      <c r="I5" s="74">
        <v>40</v>
      </c>
      <c r="J5">
        <f t="shared" si="0"/>
        <v>108</v>
      </c>
      <c r="K5" s="74">
        <v>0</v>
      </c>
      <c r="L5" s="74">
        <v>0</v>
      </c>
      <c r="M5" s="74">
        <v>1</v>
      </c>
      <c r="N5" s="74">
        <v>0.4</v>
      </c>
      <c r="O5" s="74">
        <v>0.1</v>
      </c>
    </row>
    <row r="6" s="75" customFormat="1" spans="1:15">
      <c r="A6" s="95" t="s">
        <v>329</v>
      </c>
      <c r="B6" s="75" t="s">
        <v>593</v>
      </c>
      <c r="C6" s="75">
        <v>360</v>
      </c>
      <c r="D6" s="75" t="s">
        <v>279</v>
      </c>
      <c r="E6" s="96">
        <v>6.5</v>
      </c>
      <c r="F6" s="75">
        <v>6</v>
      </c>
      <c r="G6" s="75">
        <v>100</v>
      </c>
      <c r="H6" s="75" t="s">
        <v>594</v>
      </c>
      <c r="I6" s="75">
        <v>5</v>
      </c>
      <c r="J6">
        <f t="shared" si="0"/>
        <v>13.5</v>
      </c>
      <c r="K6" s="75">
        <v>0</v>
      </c>
      <c r="L6" s="75">
        <f t="shared" si="1"/>
        <v>5</v>
      </c>
      <c r="M6" s="75">
        <v>1</v>
      </c>
      <c r="N6" s="75">
        <v>0.12</v>
      </c>
      <c r="O6" s="75">
        <v>0.012</v>
      </c>
    </row>
    <row r="7" s="76" customFormat="1" spans="1:15">
      <c r="A7" s="97" t="s">
        <v>338</v>
      </c>
      <c r="B7" s="76" t="s">
        <v>595</v>
      </c>
      <c r="C7" s="93">
        <v>3300</v>
      </c>
      <c r="D7" s="76" t="s">
        <v>293</v>
      </c>
      <c r="E7" s="98">
        <v>6.5</v>
      </c>
      <c r="F7" s="76">
        <v>6</v>
      </c>
      <c r="G7" s="76">
        <v>100</v>
      </c>
      <c r="H7" s="76" t="s">
        <v>596</v>
      </c>
      <c r="I7" s="76">
        <v>40</v>
      </c>
      <c r="J7">
        <f t="shared" si="0"/>
        <v>108</v>
      </c>
      <c r="K7" s="76">
        <v>0</v>
      </c>
      <c r="L7" s="76">
        <v>0</v>
      </c>
      <c r="M7" s="76">
        <v>1</v>
      </c>
      <c r="N7" s="76">
        <v>0.4</v>
      </c>
      <c r="O7" s="76">
        <v>0.1</v>
      </c>
    </row>
    <row r="8" s="77" customFormat="1" spans="1:15">
      <c r="A8" s="99" t="s">
        <v>348</v>
      </c>
      <c r="B8" s="77" t="s">
        <v>597</v>
      </c>
      <c r="C8" s="77">
        <v>320</v>
      </c>
      <c r="D8" s="77" t="s">
        <v>279</v>
      </c>
      <c r="E8" s="100">
        <v>5</v>
      </c>
      <c r="F8" s="77">
        <v>6</v>
      </c>
      <c r="G8" s="77">
        <v>100</v>
      </c>
      <c r="H8" s="77" t="s">
        <v>598</v>
      </c>
      <c r="I8" s="77">
        <v>4</v>
      </c>
      <c r="J8">
        <f t="shared" si="0"/>
        <v>10.8</v>
      </c>
      <c r="K8" s="77">
        <v>0</v>
      </c>
      <c r="L8" s="77">
        <f t="shared" si="1"/>
        <v>4</v>
      </c>
      <c r="M8" s="77">
        <v>1</v>
      </c>
      <c r="N8" s="77">
        <v>0.12</v>
      </c>
      <c r="O8" s="77">
        <v>0.012</v>
      </c>
    </row>
    <row r="9" s="71" customFormat="1" spans="1:15">
      <c r="A9" s="86" t="s">
        <v>356</v>
      </c>
      <c r="B9" s="71" t="s">
        <v>599</v>
      </c>
      <c r="C9" s="71">
        <v>210</v>
      </c>
      <c r="D9" s="71" t="s">
        <v>279</v>
      </c>
      <c r="E9" s="87">
        <v>5</v>
      </c>
      <c r="F9" s="71">
        <v>5</v>
      </c>
      <c r="G9" s="71">
        <v>100</v>
      </c>
      <c r="H9" s="71" t="s">
        <v>600</v>
      </c>
      <c r="I9" s="71">
        <v>4</v>
      </c>
      <c r="J9">
        <f t="shared" si="0"/>
        <v>10.8</v>
      </c>
      <c r="K9" s="71">
        <v>0</v>
      </c>
      <c r="L9" s="71">
        <f t="shared" si="1"/>
        <v>4</v>
      </c>
      <c r="M9" s="71">
        <v>0</v>
      </c>
      <c r="N9" s="71">
        <v>0.12</v>
      </c>
      <c r="O9" s="71">
        <v>0.012</v>
      </c>
    </row>
    <row r="10" s="73" customFormat="1" spans="1:15">
      <c r="A10" s="90" t="s">
        <v>361</v>
      </c>
      <c r="B10" s="73" t="s">
        <v>601</v>
      </c>
      <c r="C10" s="73">
        <v>180</v>
      </c>
      <c r="D10" s="73" t="s">
        <v>279</v>
      </c>
      <c r="E10" s="91">
        <v>5</v>
      </c>
      <c r="F10" s="73">
        <v>5</v>
      </c>
      <c r="G10" s="73">
        <v>100</v>
      </c>
      <c r="H10" s="73" t="s">
        <v>602</v>
      </c>
      <c r="I10" s="73">
        <v>5</v>
      </c>
      <c r="J10">
        <f t="shared" si="0"/>
        <v>13.5</v>
      </c>
      <c r="K10" s="73">
        <v>0</v>
      </c>
      <c r="L10" s="73">
        <f t="shared" si="1"/>
        <v>5</v>
      </c>
      <c r="M10" s="73">
        <v>0</v>
      </c>
      <c r="N10" s="73">
        <v>0.12</v>
      </c>
      <c r="O10" s="73">
        <v>0.012</v>
      </c>
    </row>
    <row r="11" s="78" customFormat="1" spans="1:15">
      <c r="A11" s="101" t="s">
        <v>366</v>
      </c>
      <c r="B11" s="78" t="s">
        <v>603</v>
      </c>
      <c r="C11" s="78">
        <v>210</v>
      </c>
      <c r="D11" s="78" t="s">
        <v>279</v>
      </c>
      <c r="E11" s="102">
        <v>5</v>
      </c>
      <c r="F11" s="78">
        <v>5</v>
      </c>
      <c r="G11" s="78">
        <v>100</v>
      </c>
      <c r="H11" s="78" t="s">
        <v>604</v>
      </c>
      <c r="I11" s="78">
        <v>5</v>
      </c>
      <c r="J11">
        <f t="shared" si="0"/>
        <v>13.5</v>
      </c>
      <c r="K11" s="78">
        <v>0</v>
      </c>
      <c r="L11" s="78">
        <f t="shared" si="1"/>
        <v>5</v>
      </c>
      <c r="M11" s="78">
        <v>0</v>
      </c>
      <c r="N11" s="78">
        <v>0.12</v>
      </c>
      <c r="O11" s="78">
        <v>0.012</v>
      </c>
    </row>
    <row r="12" s="74" customFormat="1" spans="1:15">
      <c r="A12" s="92" t="s">
        <v>369</v>
      </c>
      <c r="B12" s="74" t="s">
        <v>605</v>
      </c>
      <c r="C12" s="93">
        <v>3300</v>
      </c>
      <c r="D12" s="74" t="s">
        <v>293</v>
      </c>
      <c r="E12" s="94">
        <v>7</v>
      </c>
      <c r="F12" s="74">
        <v>5</v>
      </c>
      <c r="G12" s="74">
        <v>100</v>
      </c>
      <c r="H12" s="74" t="s">
        <v>606</v>
      </c>
      <c r="I12" s="74">
        <v>40</v>
      </c>
      <c r="J12">
        <f t="shared" si="0"/>
        <v>108</v>
      </c>
      <c r="K12" s="74">
        <v>0</v>
      </c>
      <c r="L12" s="74">
        <v>0</v>
      </c>
      <c r="M12" s="74">
        <v>1</v>
      </c>
      <c r="N12" s="74">
        <v>0.4</v>
      </c>
      <c r="O12" s="74">
        <v>0.1</v>
      </c>
    </row>
    <row r="13" s="71" customFormat="1" spans="1:15">
      <c r="A13" s="86" t="s">
        <v>372</v>
      </c>
      <c r="B13" s="71" t="s">
        <v>607</v>
      </c>
      <c r="C13" s="71">
        <v>300</v>
      </c>
      <c r="D13" s="71" t="s">
        <v>279</v>
      </c>
      <c r="E13" s="87">
        <v>5</v>
      </c>
      <c r="F13" s="71">
        <v>5</v>
      </c>
      <c r="G13" s="71">
        <v>100</v>
      </c>
      <c r="H13" s="71" t="s">
        <v>608</v>
      </c>
      <c r="I13" s="71">
        <v>5</v>
      </c>
      <c r="J13">
        <f t="shared" si="0"/>
        <v>13.5</v>
      </c>
      <c r="K13" s="71">
        <v>0</v>
      </c>
      <c r="L13" s="71">
        <f t="shared" si="1"/>
        <v>5</v>
      </c>
      <c r="M13" s="71">
        <v>0</v>
      </c>
      <c r="N13" s="71">
        <v>0.12</v>
      </c>
      <c r="O13" s="71">
        <v>0.012</v>
      </c>
    </row>
    <row r="14" s="79" customFormat="1" spans="1:15">
      <c r="A14" s="103" t="s">
        <v>375</v>
      </c>
      <c r="B14" s="79" t="s">
        <v>609</v>
      </c>
      <c r="C14" s="79">
        <v>300</v>
      </c>
      <c r="D14" s="79" t="s">
        <v>279</v>
      </c>
      <c r="E14" s="104">
        <v>5</v>
      </c>
      <c r="F14" s="79">
        <v>5</v>
      </c>
      <c r="G14" s="79">
        <v>100</v>
      </c>
      <c r="H14" s="79" t="s">
        <v>610</v>
      </c>
      <c r="I14" s="79">
        <v>6</v>
      </c>
      <c r="J14">
        <f t="shared" si="0"/>
        <v>16.2</v>
      </c>
      <c r="K14" s="79">
        <v>0</v>
      </c>
      <c r="L14" s="79">
        <f t="shared" si="1"/>
        <v>6</v>
      </c>
      <c r="M14" s="79">
        <v>0</v>
      </c>
      <c r="N14" s="79">
        <v>0.12</v>
      </c>
      <c r="O14" s="79">
        <v>0.012</v>
      </c>
    </row>
    <row r="15" s="73" customFormat="1" spans="1:15">
      <c r="A15" s="90" t="s">
        <v>378</v>
      </c>
      <c r="B15" s="73" t="s">
        <v>611</v>
      </c>
      <c r="C15" s="73">
        <v>270</v>
      </c>
      <c r="D15" s="73" t="s">
        <v>279</v>
      </c>
      <c r="E15" s="91">
        <v>5</v>
      </c>
      <c r="F15" s="73">
        <v>5</v>
      </c>
      <c r="G15" s="73">
        <v>100</v>
      </c>
      <c r="H15" s="73" t="s">
        <v>612</v>
      </c>
      <c r="I15" s="73">
        <v>6</v>
      </c>
      <c r="J15">
        <f t="shared" si="0"/>
        <v>16.2</v>
      </c>
      <c r="K15" s="73">
        <v>0</v>
      </c>
      <c r="L15" s="73">
        <f t="shared" si="1"/>
        <v>6</v>
      </c>
      <c r="M15" s="73">
        <v>0</v>
      </c>
      <c r="N15" s="73">
        <v>0.12</v>
      </c>
      <c r="O15" s="73">
        <v>0.012</v>
      </c>
    </row>
    <row r="16" s="80" customFormat="1" spans="1:15">
      <c r="A16" s="105" t="s">
        <v>381</v>
      </c>
      <c r="B16" s="80" t="s">
        <v>613</v>
      </c>
      <c r="C16" s="93">
        <v>3300</v>
      </c>
      <c r="D16" s="80" t="s">
        <v>293</v>
      </c>
      <c r="E16" s="106">
        <v>7</v>
      </c>
      <c r="F16" s="80">
        <v>5</v>
      </c>
      <c r="G16" s="80">
        <v>100</v>
      </c>
      <c r="H16" s="80" t="s">
        <v>614</v>
      </c>
      <c r="I16" s="80">
        <v>40</v>
      </c>
      <c r="J16">
        <f t="shared" si="0"/>
        <v>108</v>
      </c>
      <c r="K16" s="80">
        <v>0</v>
      </c>
      <c r="L16" s="80">
        <v>0</v>
      </c>
      <c r="M16" s="80">
        <v>1</v>
      </c>
      <c r="N16" s="80">
        <v>0.4</v>
      </c>
      <c r="O16" s="80">
        <v>0.1</v>
      </c>
    </row>
    <row r="17" s="81" customFormat="1" spans="1:15">
      <c r="A17" s="107" t="s">
        <v>384</v>
      </c>
      <c r="B17" s="81" t="s">
        <v>615</v>
      </c>
      <c r="C17" s="81">
        <v>550</v>
      </c>
      <c r="D17" s="71" t="s">
        <v>279</v>
      </c>
      <c r="E17" s="108">
        <v>5</v>
      </c>
      <c r="F17" s="71">
        <v>5</v>
      </c>
      <c r="G17" s="81">
        <v>100</v>
      </c>
      <c r="H17" s="81" t="s">
        <v>616</v>
      </c>
      <c r="I17" s="81">
        <v>9</v>
      </c>
      <c r="J17">
        <f t="shared" si="0"/>
        <v>24.3</v>
      </c>
      <c r="K17" s="81">
        <v>0</v>
      </c>
      <c r="L17" s="81">
        <f t="shared" si="1"/>
        <v>9</v>
      </c>
      <c r="M17" s="81">
        <v>1</v>
      </c>
      <c r="N17" s="81">
        <v>0.12</v>
      </c>
      <c r="O17" s="81">
        <v>0.012</v>
      </c>
    </row>
    <row r="18" s="82" customFormat="1" spans="1:15">
      <c r="A18" s="109" t="s">
        <v>387</v>
      </c>
      <c r="B18" s="82" t="s">
        <v>617</v>
      </c>
      <c r="C18" s="82">
        <v>500</v>
      </c>
      <c r="D18" s="73" t="s">
        <v>279</v>
      </c>
      <c r="E18" s="110">
        <v>5</v>
      </c>
      <c r="F18" s="73">
        <v>5</v>
      </c>
      <c r="G18" s="82">
        <v>100</v>
      </c>
      <c r="H18" s="82" t="s">
        <v>618</v>
      </c>
      <c r="I18" s="82">
        <v>9</v>
      </c>
      <c r="J18">
        <f t="shared" si="0"/>
        <v>24.3</v>
      </c>
      <c r="K18" s="82">
        <v>0</v>
      </c>
      <c r="L18" s="82">
        <f t="shared" si="1"/>
        <v>9</v>
      </c>
      <c r="M18" s="82">
        <v>1</v>
      </c>
      <c r="N18" s="82">
        <v>0.12</v>
      </c>
      <c r="O18" s="82">
        <v>0.012</v>
      </c>
    </row>
    <row r="19" s="83" customFormat="1" spans="1:15">
      <c r="A19" s="111" t="s">
        <v>390</v>
      </c>
      <c r="B19" s="83" t="s">
        <v>619</v>
      </c>
      <c r="C19" s="83">
        <v>550</v>
      </c>
      <c r="D19" s="112" t="s">
        <v>279</v>
      </c>
      <c r="E19" s="113">
        <v>5</v>
      </c>
      <c r="F19" s="112">
        <v>5</v>
      </c>
      <c r="G19" s="83">
        <v>100</v>
      </c>
      <c r="H19" s="83" t="s">
        <v>620</v>
      </c>
      <c r="I19" s="83">
        <v>9</v>
      </c>
      <c r="J19">
        <f t="shared" si="0"/>
        <v>24.3</v>
      </c>
      <c r="K19" s="83">
        <v>0</v>
      </c>
      <c r="L19" s="83">
        <f t="shared" si="1"/>
        <v>9</v>
      </c>
      <c r="M19" s="83">
        <v>1</v>
      </c>
      <c r="N19" s="83">
        <v>0.12</v>
      </c>
      <c r="O19" s="83">
        <v>0.012</v>
      </c>
    </row>
    <row r="20" s="84" customFormat="1" spans="1:15">
      <c r="A20" s="84" t="s">
        <v>393</v>
      </c>
      <c r="B20" s="84" t="s">
        <v>621</v>
      </c>
      <c r="C20" s="93">
        <v>3300</v>
      </c>
      <c r="D20" s="114" t="s">
        <v>293</v>
      </c>
      <c r="E20" s="115">
        <v>7</v>
      </c>
      <c r="F20" s="114">
        <v>5</v>
      </c>
      <c r="G20" s="84">
        <v>100</v>
      </c>
      <c r="H20" s="84" t="s">
        <v>622</v>
      </c>
      <c r="I20" s="84">
        <v>40</v>
      </c>
      <c r="J20">
        <f t="shared" si="0"/>
        <v>108</v>
      </c>
      <c r="K20" s="84">
        <v>0</v>
      </c>
      <c r="L20" s="84">
        <v>0</v>
      </c>
      <c r="M20" s="84">
        <v>1</v>
      </c>
      <c r="N20" s="84">
        <v>0.4</v>
      </c>
      <c r="O20" s="84">
        <v>0.1</v>
      </c>
    </row>
    <row r="21" s="85" customFormat="1" spans="1:15">
      <c r="A21" s="15" t="s">
        <v>396</v>
      </c>
      <c r="B21" s="15" t="s">
        <v>623</v>
      </c>
      <c r="C21" s="15">
        <v>1000</v>
      </c>
      <c r="D21" s="116" t="s">
        <v>307</v>
      </c>
      <c r="E21" s="15">
        <v>0</v>
      </c>
      <c r="F21" s="15">
        <v>0</v>
      </c>
      <c r="G21" s="15">
        <v>100</v>
      </c>
      <c r="H21" s="15" t="s">
        <v>624</v>
      </c>
      <c r="I21" s="15">
        <v>0</v>
      </c>
      <c r="J21">
        <f t="shared" si="0"/>
        <v>0</v>
      </c>
      <c r="K21" s="15">
        <v>0</v>
      </c>
      <c r="L21" s="15">
        <f t="shared" si="1"/>
        <v>0</v>
      </c>
      <c r="M21" s="15">
        <v>0</v>
      </c>
      <c r="N21" s="85">
        <v>0.12</v>
      </c>
      <c r="O21" s="85">
        <v>0.012</v>
      </c>
    </row>
    <row r="22" s="85" customFormat="1" spans="1:15">
      <c r="A22" s="15" t="s">
        <v>399</v>
      </c>
      <c r="B22" s="15" t="s">
        <v>625</v>
      </c>
      <c r="C22" s="15">
        <v>1000</v>
      </c>
      <c r="D22" s="116" t="s">
        <v>307</v>
      </c>
      <c r="E22" s="15">
        <v>0</v>
      </c>
      <c r="F22" s="15">
        <v>0</v>
      </c>
      <c r="G22" s="15">
        <v>100</v>
      </c>
      <c r="H22" s="15" t="s">
        <v>626</v>
      </c>
      <c r="I22" s="15">
        <v>0</v>
      </c>
      <c r="J22">
        <f t="shared" si="0"/>
        <v>0</v>
      </c>
      <c r="K22" s="15">
        <v>0</v>
      </c>
      <c r="L22" s="15">
        <f t="shared" si="1"/>
        <v>0</v>
      </c>
      <c r="M22" s="15">
        <v>0</v>
      </c>
      <c r="N22" s="85">
        <v>0.12</v>
      </c>
      <c r="O22" s="85">
        <v>0.012</v>
      </c>
    </row>
    <row r="23" s="85" customFormat="1" spans="1:15">
      <c r="A23" s="15" t="s">
        <v>402</v>
      </c>
      <c r="B23" s="15" t="s">
        <v>627</v>
      </c>
      <c r="C23" s="15">
        <v>1000</v>
      </c>
      <c r="D23" s="116" t="s">
        <v>307</v>
      </c>
      <c r="E23" s="15">
        <v>0</v>
      </c>
      <c r="F23" s="15">
        <v>0</v>
      </c>
      <c r="G23" s="15">
        <v>100</v>
      </c>
      <c r="H23" s="15" t="s">
        <v>628</v>
      </c>
      <c r="I23" s="15">
        <v>0</v>
      </c>
      <c r="J23">
        <f t="shared" si="0"/>
        <v>0</v>
      </c>
      <c r="K23" s="15">
        <v>0</v>
      </c>
      <c r="L23" s="15">
        <f t="shared" si="1"/>
        <v>0</v>
      </c>
      <c r="M23" s="15">
        <v>0</v>
      </c>
      <c r="N23" s="85">
        <v>0.12</v>
      </c>
      <c r="O23" s="85">
        <v>0.012</v>
      </c>
    </row>
    <row r="24" spans="1:15">
      <c r="A24" s="85" t="s">
        <v>405</v>
      </c>
      <c r="B24" s="85" t="s">
        <v>629</v>
      </c>
      <c r="C24" s="93">
        <v>3500</v>
      </c>
      <c r="D24" s="85" t="s">
        <v>293</v>
      </c>
      <c r="E24" s="85">
        <v>7</v>
      </c>
      <c r="F24" s="85">
        <v>5</v>
      </c>
      <c r="G24" s="85">
        <v>100</v>
      </c>
      <c r="H24" s="85" t="s">
        <v>630</v>
      </c>
      <c r="I24" s="85">
        <v>40</v>
      </c>
      <c r="J24">
        <f t="shared" si="0"/>
        <v>108</v>
      </c>
      <c r="K24" s="85">
        <v>0</v>
      </c>
      <c r="L24" s="85">
        <v>0</v>
      </c>
      <c r="M24" s="85">
        <v>1</v>
      </c>
      <c r="N24" s="85">
        <v>0.4</v>
      </c>
      <c r="O24" s="85">
        <v>0.1</v>
      </c>
    </row>
    <row r="25" spans="1:15">
      <c r="A25" s="85" t="s">
        <v>408</v>
      </c>
      <c r="B25" s="85" t="s">
        <v>631</v>
      </c>
      <c r="C25" s="93">
        <v>3500</v>
      </c>
      <c r="D25" s="85" t="s">
        <v>293</v>
      </c>
      <c r="E25" s="85">
        <v>5</v>
      </c>
      <c r="F25" s="85">
        <v>5</v>
      </c>
      <c r="G25" s="85">
        <v>100</v>
      </c>
      <c r="H25" s="85" t="s">
        <v>632</v>
      </c>
      <c r="I25" s="85">
        <v>40</v>
      </c>
      <c r="J25">
        <f t="shared" si="0"/>
        <v>108</v>
      </c>
      <c r="K25" s="85">
        <v>0</v>
      </c>
      <c r="L25" s="85">
        <v>0</v>
      </c>
      <c r="M25" s="85">
        <v>1</v>
      </c>
      <c r="N25" s="85">
        <v>0.4</v>
      </c>
      <c r="O25" s="85">
        <v>0.1</v>
      </c>
    </row>
    <row r="26" spans="1:15">
      <c r="A26" s="85" t="s">
        <v>411</v>
      </c>
      <c r="B26" s="85" t="s">
        <v>633</v>
      </c>
      <c r="C26" s="93">
        <v>3300</v>
      </c>
      <c r="D26" s="85" t="s">
        <v>293</v>
      </c>
      <c r="E26" s="85">
        <v>4</v>
      </c>
      <c r="F26" s="85">
        <v>5</v>
      </c>
      <c r="G26" s="85">
        <v>100</v>
      </c>
      <c r="H26" s="85" t="s">
        <v>634</v>
      </c>
      <c r="I26" s="85">
        <v>40</v>
      </c>
      <c r="J26">
        <f t="shared" si="0"/>
        <v>108</v>
      </c>
      <c r="K26" s="85">
        <v>0</v>
      </c>
      <c r="L26" s="85">
        <v>0</v>
      </c>
      <c r="M26" s="85">
        <v>1</v>
      </c>
      <c r="N26" s="85">
        <v>0.4</v>
      </c>
      <c r="O26" s="85">
        <v>0.1</v>
      </c>
    </row>
    <row r="27" spans="1:15">
      <c r="A27" s="57" t="s">
        <v>414</v>
      </c>
      <c r="B27" s="57" t="s">
        <v>635</v>
      </c>
      <c r="C27" s="93">
        <v>3300</v>
      </c>
      <c r="D27" s="57" t="s">
        <v>293</v>
      </c>
      <c r="E27" s="57">
        <v>5</v>
      </c>
      <c r="F27" s="57">
        <v>5</v>
      </c>
      <c r="G27" s="57">
        <v>100</v>
      </c>
      <c r="H27" s="57" t="s">
        <v>636</v>
      </c>
      <c r="I27" s="57">
        <v>40</v>
      </c>
      <c r="J27">
        <f t="shared" si="0"/>
        <v>108</v>
      </c>
      <c r="K27" s="57">
        <v>0</v>
      </c>
      <c r="L27" s="57">
        <v>0</v>
      </c>
      <c r="M27" s="57">
        <v>1</v>
      </c>
      <c r="N27" s="57">
        <v>0.4</v>
      </c>
      <c r="O27" s="57">
        <v>0.1</v>
      </c>
    </row>
    <row r="28" spans="1:15">
      <c r="A28" s="15" t="s">
        <v>417</v>
      </c>
      <c r="B28" s="15" t="s">
        <v>637</v>
      </c>
      <c r="C28" s="15">
        <v>450</v>
      </c>
      <c r="D28" s="15" t="s">
        <v>279</v>
      </c>
      <c r="E28" s="15">
        <v>5</v>
      </c>
      <c r="F28" s="15">
        <v>6</v>
      </c>
      <c r="G28" s="15">
        <v>100</v>
      </c>
      <c r="H28" s="15" t="s">
        <v>638</v>
      </c>
      <c r="I28" s="15">
        <v>8</v>
      </c>
      <c r="J28">
        <f t="shared" si="0"/>
        <v>21.6</v>
      </c>
      <c r="K28" s="15">
        <v>0</v>
      </c>
      <c r="L28" s="15">
        <f t="shared" si="1"/>
        <v>8</v>
      </c>
      <c r="M28" s="15">
        <v>1</v>
      </c>
      <c r="N28" s="15">
        <v>0.12</v>
      </c>
      <c r="O28" s="15">
        <v>0.012</v>
      </c>
    </row>
    <row r="29" s="57" customFormat="1" spans="1:15">
      <c r="A29" s="57" t="s">
        <v>420</v>
      </c>
      <c r="B29" s="57" t="s">
        <v>639</v>
      </c>
      <c r="C29" s="93">
        <v>3300</v>
      </c>
      <c r="D29" s="57" t="s">
        <v>293</v>
      </c>
      <c r="E29" s="57">
        <v>6</v>
      </c>
      <c r="F29" s="57">
        <v>6</v>
      </c>
      <c r="G29" s="57">
        <v>100</v>
      </c>
      <c r="H29" s="57" t="s">
        <v>640</v>
      </c>
      <c r="I29" s="57">
        <v>40</v>
      </c>
      <c r="J29">
        <f t="shared" si="0"/>
        <v>108</v>
      </c>
      <c r="K29" s="57">
        <v>0</v>
      </c>
      <c r="L29" s="57">
        <v>0</v>
      </c>
      <c r="M29" s="57">
        <v>1</v>
      </c>
      <c r="N29" s="57">
        <v>0.4</v>
      </c>
      <c r="O29" s="57">
        <v>0.1</v>
      </c>
    </row>
    <row r="30" spans="1:15">
      <c r="A30" s="15" t="s">
        <v>423</v>
      </c>
      <c r="B30" s="15" t="s">
        <v>629</v>
      </c>
      <c r="C30" s="117">
        <v>2100</v>
      </c>
      <c r="D30" s="15" t="s">
        <v>279</v>
      </c>
      <c r="E30" s="15">
        <v>7</v>
      </c>
      <c r="F30" s="15">
        <v>5</v>
      </c>
      <c r="G30" s="15">
        <v>100</v>
      </c>
      <c r="H30" s="15" t="s">
        <v>630</v>
      </c>
      <c r="I30" s="15">
        <v>20</v>
      </c>
      <c r="J30" s="15">
        <f t="shared" si="0"/>
        <v>54</v>
      </c>
      <c r="K30" s="15">
        <v>0</v>
      </c>
      <c r="L30" s="15">
        <v>0</v>
      </c>
      <c r="M30" s="15">
        <v>1</v>
      </c>
      <c r="N30" s="15">
        <v>0.4</v>
      </c>
      <c r="O30" s="15">
        <v>0.1</v>
      </c>
    </row>
    <row r="31" spans="1:15">
      <c r="A31" s="15" t="s">
        <v>426</v>
      </c>
      <c r="B31" s="15" t="s">
        <v>631</v>
      </c>
      <c r="C31" s="117">
        <v>2100</v>
      </c>
      <c r="D31" s="15" t="s">
        <v>279</v>
      </c>
      <c r="E31" s="15">
        <v>5</v>
      </c>
      <c r="F31" s="15">
        <v>5</v>
      </c>
      <c r="G31" s="15">
        <v>100</v>
      </c>
      <c r="H31" s="15" t="s">
        <v>632</v>
      </c>
      <c r="I31" s="15">
        <v>20</v>
      </c>
      <c r="J31" s="15">
        <f t="shared" si="0"/>
        <v>54</v>
      </c>
      <c r="K31" s="15">
        <v>0</v>
      </c>
      <c r="L31" s="15">
        <v>0</v>
      </c>
      <c r="M31" s="15">
        <v>1</v>
      </c>
      <c r="N31" s="15">
        <v>0.4</v>
      </c>
      <c r="O31" s="15">
        <v>0.1</v>
      </c>
    </row>
  </sheetData>
  <autoFilter xmlns:etc="http://www.wps.cn/officeDocument/2017/etCustomData" ref="A1:O31" etc:filterBottomFollowUsedRange="0">
    <extLst/>
  </autoFilter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D27" sqref="D27"/>
    </sheetView>
  </sheetViews>
  <sheetFormatPr defaultColWidth="8.71428571428571" defaultRowHeight="15"/>
  <cols>
    <col min="1" max="1" width="21.5714285714286" customWidth="1"/>
    <col min="2" max="2" width="53.5714285714286" customWidth="1"/>
    <col min="3" max="3" width="12.7142857142857" customWidth="1"/>
    <col min="4" max="4" width="55.5714285714286" customWidth="1"/>
    <col min="5" max="5" width="15.7142857142857" customWidth="1"/>
    <col min="6" max="6" width="16" customWidth="1"/>
    <col min="7" max="7" width="3.71428571428571" customWidth="1"/>
    <col min="9" max="9" width="14.1428571428571" customWidth="1"/>
    <col min="10" max="10" width="15.2857142857143" customWidth="1"/>
    <col min="11" max="11" width="11.1428571428571" customWidth="1"/>
    <col min="12" max="12" width="9.42857142857143" customWidth="1"/>
    <col min="13" max="13" width="15.8571428571429" customWidth="1"/>
    <col min="14" max="14" width="10.1428571428571" customWidth="1"/>
  </cols>
  <sheetData>
    <row r="1" spans="1:14">
      <c r="A1" t="s">
        <v>641</v>
      </c>
      <c r="B1" t="s">
        <v>642</v>
      </c>
      <c r="C1" t="s">
        <v>643</v>
      </c>
      <c r="D1" t="s">
        <v>644</v>
      </c>
      <c r="E1" t="s">
        <v>645</v>
      </c>
      <c r="F1" t="s">
        <v>646</v>
      </c>
      <c r="G1" t="s">
        <v>572</v>
      </c>
      <c r="H1" t="s">
        <v>647</v>
      </c>
      <c r="I1" t="s">
        <v>648</v>
      </c>
      <c r="J1" t="s">
        <v>649</v>
      </c>
      <c r="K1" t="s">
        <v>650</v>
      </c>
      <c r="L1" t="s">
        <v>651</v>
      </c>
      <c r="M1" t="s">
        <v>652</v>
      </c>
      <c r="N1" t="s">
        <v>653</v>
      </c>
    </row>
    <row r="2" s="46" customFormat="1" spans="1:14">
      <c r="A2" s="46" t="s">
        <v>276</v>
      </c>
      <c r="B2" s="46" t="s">
        <v>654</v>
      </c>
      <c r="C2" s="46" t="b">
        <f t="shared" ref="C2:C13" si="0">FALSE()</f>
        <v>0</v>
      </c>
      <c r="G2" s="46">
        <v>1</v>
      </c>
      <c r="H2" s="46">
        <v>1</v>
      </c>
      <c r="I2" s="46">
        <v>1</v>
      </c>
      <c r="J2" s="46">
        <v>0</v>
      </c>
      <c r="K2" s="46">
        <v>0</v>
      </c>
      <c r="L2" s="46">
        <v>1</v>
      </c>
    </row>
    <row r="3" s="47" customFormat="1" spans="1:14">
      <c r="A3" s="47" t="s">
        <v>290</v>
      </c>
      <c r="B3" s="47" t="s">
        <v>655</v>
      </c>
      <c r="C3" s="47" t="b">
        <f t="shared" si="0"/>
        <v>0</v>
      </c>
      <c r="G3" s="47">
        <v>1</v>
      </c>
      <c r="H3" s="47">
        <v>11</v>
      </c>
      <c r="I3" s="47">
        <v>1</v>
      </c>
      <c r="J3" s="47">
        <v>0</v>
      </c>
      <c r="K3" s="47">
        <v>3</v>
      </c>
      <c r="L3" s="47">
        <v>1</v>
      </c>
    </row>
    <row r="4" s="48" customFormat="1" spans="1:14">
      <c r="A4" s="48" t="s">
        <v>304</v>
      </c>
      <c r="B4" s="48" t="s">
        <v>656</v>
      </c>
      <c r="C4" s="48" t="b">
        <f t="shared" si="0"/>
        <v>0</v>
      </c>
      <c r="G4" s="48">
        <v>1</v>
      </c>
      <c r="H4" s="48">
        <v>14</v>
      </c>
      <c r="I4" s="48">
        <v>1</v>
      </c>
      <c r="J4" s="48">
        <v>0</v>
      </c>
      <c r="K4" s="48">
        <v>4</v>
      </c>
      <c r="L4" s="48">
        <v>1</v>
      </c>
    </row>
    <row r="5" s="49" customFormat="1" spans="1:14">
      <c r="A5" s="58" t="s">
        <v>318</v>
      </c>
      <c r="B5" s="49" t="s">
        <v>657</v>
      </c>
      <c r="C5" s="49" t="b">
        <f t="shared" si="0"/>
        <v>0</v>
      </c>
      <c r="E5" s="49">
        <v>60</v>
      </c>
      <c r="F5" s="49">
        <v>100</v>
      </c>
      <c r="G5" s="49">
        <v>1</v>
      </c>
      <c r="H5" s="49">
        <v>14</v>
      </c>
      <c r="I5" s="49">
        <v>1</v>
      </c>
      <c r="J5" s="49">
        <v>0</v>
      </c>
      <c r="K5" s="49">
        <v>10</v>
      </c>
      <c r="L5" s="49">
        <v>2</v>
      </c>
    </row>
    <row r="6" s="49" customFormat="1" spans="1:14">
      <c r="A6" s="58"/>
      <c r="B6" s="49" t="s">
        <v>658</v>
      </c>
      <c r="C6" s="49" t="b">
        <f t="shared" si="0"/>
        <v>0</v>
      </c>
      <c r="E6" s="49">
        <v>30</v>
      </c>
      <c r="F6" s="49">
        <v>60</v>
      </c>
      <c r="G6" s="49">
        <v>1</v>
      </c>
      <c r="H6" s="49">
        <v>14</v>
      </c>
      <c r="I6" s="49">
        <v>1</v>
      </c>
      <c r="J6" s="49">
        <v>0</v>
      </c>
      <c r="K6" s="49">
        <v>9</v>
      </c>
      <c r="L6" s="49">
        <v>3</v>
      </c>
    </row>
    <row r="7" s="49" customFormat="1" spans="1:14">
      <c r="A7" s="58"/>
      <c r="B7" s="49" t="s">
        <v>659</v>
      </c>
      <c r="C7" s="49" t="b">
        <f t="shared" si="0"/>
        <v>0</v>
      </c>
      <c r="E7" s="49">
        <v>0</v>
      </c>
      <c r="F7" s="49">
        <v>30</v>
      </c>
      <c r="G7" s="49">
        <v>1</v>
      </c>
      <c r="H7" s="49">
        <v>14</v>
      </c>
      <c r="I7" s="49">
        <v>1</v>
      </c>
      <c r="J7" s="49">
        <v>0</v>
      </c>
      <c r="K7" s="49">
        <v>8</v>
      </c>
      <c r="L7" s="49">
        <v>4</v>
      </c>
    </row>
    <row r="8" s="49" customFormat="1" spans="1:14">
      <c r="A8" s="58"/>
      <c r="B8" s="49" t="s">
        <v>660</v>
      </c>
      <c r="C8" s="49" t="b">
        <f t="shared" si="0"/>
        <v>0</v>
      </c>
      <c r="E8" s="49">
        <v>60</v>
      </c>
      <c r="F8" s="49">
        <v>100</v>
      </c>
      <c r="G8" s="49">
        <v>1</v>
      </c>
      <c r="H8" s="49">
        <v>12</v>
      </c>
      <c r="I8" s="49">
        <v>1</v>
      </c>
      <c r="J8" s="49">
        <v>0</v>
      </c>
      <c r="K8" s="49">
        <v>10</v>
      </c>
      <c r="L8" s="49">
        <v>2</v>
      </c>
    </row>
    <row r="9" s="49" customFormat="1" spans="1:14">
      <c r="A9" s="58"/>
      <c r="B9" s="49" t="s">
        <v>661</v>
      </c>
      <c r="C9" s="49" t="b">
        <f t="shared" si="0"/>
        <v>0</v>
      </c>
      <c r="E9" s="49">
        <v>30</v>
      </c>
      <c r="F9" s="49">
        <v>60</v>
      </c>
      <c r="G9" s="49">
        <v>1</v>
      </c>
      <c r="H9" s="49">
        <v>12</v>
      </c>
      <c r="I9" s="49">
        <v>1</v>
      </c>
      <c r="J9" s="49">
        <v>0</v>
      </c>
      <c r="K9" s="49">
        <v>9</v>
      </c>
      <c r="L9" s="49">
        <v>3</v>
      </c>
    </row>
    <row r="10" s="49" customFormat="1" spans="1:14">
      <c r="A10" s="58"/>
      <c r="B10" s="49" t="s">
        <v>662</v>
      </c>
      <c r="C10" s="49" t="b">
        <f t="shared" si="0"/>
        <v>0</v>
      </c>
      <c r="E10" s="49">
        <v>0</v>
      </c>
      <c r="F10" s="49">
        <v>30</v>
      </c>
      <c r="G10" s="49">
        <v>1</v>
      </c>
      <c r="H10" s="49">
        <v>12</v>
      </c>
      <c r="I10" s="49">
        <v>1</v>
      </c>
      <c r="J10" s="49">
        <v>0</v>
      </c>
      <c r="K10" s="49">
        <v>8</v>
      </c>
      <c r="L10" s="49">
        <v>4</v>
      </c>
    </row>
    <row r="11" s="49" customFormat="1" spans="1:14">
      <c r="A11" s="58"/>
      <c r="B11" s="49" t="s">
        <v>663</v>
      </c>
      <c r="C11" s="49" t="b">
        <f t="shared" si="0"/>
        <v>0</v>
      </c>
      <c r="E11" s="49">
        <v>60</v>
      </c>
      <c r="F11" s="49">
        <v>100</v>
      </c>
      <c r="G11" s="49">
        <v>0</v>
      </c>
      <c r="H11" s="49">
        <v>30</v>
      </c>
      <c r="I11" s="49">
        <v>1</v>
      </c>
      <c r="J11" s="49">
        <v>0</v>
      </c>
      <c r="K11" s="49">
        <v>10</v>
      </c>
      <c r="L11" s="49">
        <v>4</v>
      </c>
    </row>
    <row r="12" s="49" customFormat="1" spans="1:14">
      <c r="A12" s="58"/>
      <c r="B12" s="49" t="s">
        <v>664</v>
      </c>
      <c r="C12" s="49" t="b">
        <f t="shared" si="0"/>
        <v>0</v>
      </c>
      <c r="E12" s="49">
        <v>30</v>
      </c>
      <c r="F12" s="49">
        <v>60</v>
      </c>
      <c r="G12" s="49">
        <v>0</v>
      </c>
      <c r="H12" s="49">
        <v>30</v>
      </c>
      <c r="I12" s="49">
        <v>1</v>
      </c>
      <c r="J12" s="49">
        <v>0</v>
      </c>
      <c r="K12" s="49">
        <v>9</v>
      </c>
      <c r="L12" s="49">
        <v>4</v>
      </c>
    </row>
    <row r="13" s="49" customFormat="1" spans="1:14">
      <c r="A13" s="58"/>
      <c r="B13" s="49" t="s">
        <v>665</v>
      </c>
      <c r="C13" s="49" t="b">
        <f t="shared" si="0"/>
        <v>0</v>
      </c>
      <c r="E13" s="49">
        <v>0</v>
      </c>
      <c r="F13" s="49">
        <v>30</v>
      </c>
      <c r="G13" s="49">
        <v>0</v>
      </c>
      <c r="H13" s="49">
        <v>30</v>
      </c>
      <c r="I13" s="49">
        <v>1</v>
      </c>
      <c r="J13" s="49">
        <v>0</v>
      </c>
      <c r="K13" s="49">
        <v>8</v>
      </c>
      <c r="L13" s="49">
        <v>4</v>
      </c>
    </row>
    <row r="14" s="46" customFormat="1" spans="1:14">
      <c r="A14" s="46" t="s">
        <v>356</v>
      </c>
      <c r="B14" s="46" t="s">
        <v>666</v>
      </c>
      <c r="C14" s="46" t="b">
        <f t="shared" ref="C14:C23" si="1">TRUE()</f>
        <v>1</v>
      </c>
      <c r="G14" s="46">
        <v>1</v>
      </c>
      <c r="H14" s="46">
        <v>12</v>
      </c>
      <c r="I14" s="46">
        <v>2</v>
      </c>
      <c r="J14" s="46">
        <v>7.5</v>
      </c>
      <c r="K14" s="46">
        <v>4</v>
      </c>
      <c r="L14" s="46">
        <v>2</v>
      </c>
    </row>
    <row r="15" s="48" customFormat="1" spans="1:14">
      <c r="A15" s="48" t="s">
        <v>361</v>
      </c>
      <c r="B15" s="48" t="s">
        <v>667</v>
      </c>
      <c r="C15" s="48" t="b">
        <f t="shared" si="1"/>
        <v>1</v>
      </c>
      <c r="G15" s="48">
        <v>1</v>
      </c>
      <c r="H15" s="48">
        <v>12</v>
      </c>
      <c r="I15" s="48">
        <v>2</v>
      </c>
      <c r="J15" s="48">
        <v>0</v>
      </c>
      <c r="K15" s="48">
        <v>8</v>
      </c>
      <c r="L15" s="48">
        <v>3</v>
      </c>
    </row>
    <row r="16" s="50" customFormat="1" spans="1:14">
      <c r="A16" s="50" t="s">
        <v>366</v>
      </c>
      <c r="B16" s="50" t="s">
        <v>668</v>
      </c>
      <c r="C16" s="50" t="b">
        <f t="shared" si="1"/>
        <v>1</v>
      </c>
      <c r="G16" s="50">
        <v>1</v>
      </c>
      <c r="H16" s="50">
        <v>14</v>
      </c>
      <c r="I16" s="50">
        <v>2</v>
      </c>
      <c r="J16" s="50">
        <v>5.5</v>
      </c>
      <c r="K16" s="50">
        <v>6</v>
      </c>
      <c r="L16" s="50">
        <v>2</v>
      </c>
    </row>
    <row r="17" s="49" customFormat="1" spans="1:14">
      <c r="A17" s="58" t="s">
        <v>369</v>
      </c>
      <c r="B17" s="49" t="s">
        <v>666</v>
      </c>
      <c r="C17" s="49" t="b">
        <f t="shared" si="1"/>
        <v>1</v>
      </c>
      <c r="E17" s="49">
        <v>40</v>
      </c>
      <c r="F17" s="49">
        <v>100</v>
      </c>
      <c r="G17" s="49">
        <v>1</v>
      </c>
      <c r="H17" s="49">
        <v>12</v>
      </c>
      <c r="I17" s="49">
        <v>1</v>
      </c>
      <c r="J17" s="49">
        <v>5</v>
      </c>
      <c r="K17" s="49">
        <v>1</v>
      </c>
      <c r="L17" s="49">
        <v>2</v>
      </c>
      <c r="M17" s="49">
        <v>2</v>
      </c>
    </row>
    <row r="18" s="49" customFormat="1" spans="1:14">
      <c r="A18" s="58"/>
      <c r="B18" s="49" t="s">
        <v>669</v>
      </c>
      <c r="C18" s="49" t="b">
        <f t="shared" si="1"/>
        <v>1</v>
      </c>
      <c r="E18" s="49">
        <v>70</v>
      </c>
      <c r="F18" s="49">
        <v>100</v>
      </c>
      <c r="G18" s="49">
        <v>1</v>
      </c>
      <c r="H18" s="49">
        <v>12</v>
      </c>
      <c r="I18" s="49">
        <v>1</v>
      </c>
      <c r="J18" s="49">
        <v>11</v>
      </c>
      <c r="K18" s="49">
        <v>10</v>
      </c>
      <c r="L18" s="49">
        <v>10</v>
      </c>
    </row>
    <row r="19" s="49" customFormat="1" spans="1:14">
      <c r="A19" s="58"/>
      <c r="B19" s="49" t="s">
        <v>670</v>
      </c>
      <c r="C19" s="49" t="b">
        <f t="shared" si="1"/>
        <v>1</v>
      </c>
      <c r="E19" s="49">
        <v>40</v>
      </c>
      <c r="F19" s="49">
        <v>70</v>
      </c>
      <c r="G19" s="49">
        <v>1</v>
      </c>
      <c r="H19" s="49">
        <v>15</v>
      </c>
      <c r="I19" s="49">
        <v>1</v>
      </c>
      <c r="J19" s="49">
        <v>11</v>
      </c>
      <c r="K19" s="49">
        <v>9</v>
      </c>
      <c r="L19" s="49">
        <v>20</v>
      </c>
    </row>
    <row r="20" s="49" customFormat="1" spans="1:14">
      <c r="A20" s="58"/>
      <c r="B20" s="49" t="s">
        <v>671</v>
      </c>
      <c r="C20" s="49" t="b">
        <f t="shared" si="1"/>
        <v>1</v>
      </c>
      <c r="E20" s="49">
        <v>10</v>
      </c>
      <c r="F20" s="49">
        <v>40</v>
      </c>
      <c r="G20" s="49">
        <v>1</v>
      </c>
      <c r="H20" s="49">
        <v>19</v>
      </c>
      <c r="I20" s="49">
        <v>1</v>
      </c>
      <c r="J20" s="49">
        <v>11</v>
      </c>
      <c r="K20" s="49">
        <v>8</v>
      </c>
      <c r="L20" s="49">
        <v>30</v>
      </c>
    </row>
    <row r="21" s="49" customFormat="1" spans="1:14">
      <c r="A21" s="58"/>
      <c r="B21" s="49" t="s">
        <v>672</v>
      </c>
      <c r="C21" s="49" t="b">
        <f t="shared" si="1"/>
        <v>1</v>
      </c>
      <c r="E21" s="49">
        <v>70</v>
      </c>
      <c r="F21" s="49">
        <v>100</v>
      </c>
      <c r="G21" s="49">
        <v>1</v>
      </c>
      <c r="H21" s="49">
        <v>12</v>
      </c>
      <c r="I21" s="49">
        <v>1</v>
      </c>
      <c r="J21" s="49">
        <v>0</v>
      </c>
      <c r="K21" s="49">
        <v>10</v>
      </c>
      <c r="L21" s="49">
        <v>1</v>
      </c>
      <c r="M21" s="49">
        <v>2</v>
      </c>
    </row>
    <row r="22" s="49" customFormat="1" spans="1:14">
      <c r="A22" s="58"/>
      <c r="B22" s="49" t="s">
        <v>673</v>
      </c>
      <c r="C22" s="49" t="b">
        <f t="shared" si="1"/>
        <v>1</v>
      </c>
      <c r="E22" s="49">
        <v>40</v>
      </c>
      <c r="F22" s="49">
        <v>70</v>
      </c>
      <c r="G22" s="49">
        <v>1</v>
      </c>
      <c r="H22" s="49">
        <v>15</v>
      </c>
      <c r="I22" s="49">
        <v>1</v>
      </c>
      <c r="J22" s="49">
        <v>0</v>
      </c>
      <c r="K22" s="49">
        <v>9</v>
      </c>
      <c r="L22" s="49">
        <v>2</v>
      </c>
      <c r="M22" s="49">
        <v>4</v>
      </c>
    </row>
    <row r="23" s="49" customFormat="1" spans="1:14">
      <c r="A23" s="58"/>
      <c r="B23" s="49" t="s">
        <v>674</v>
      </c>
      <c r="C23" s="49" t="b">
        <f t="shared" si="1"/>
        <v>1</v>
      </c>
      <c r="E23" s="49">
        <v>10</v>
      </c>
      <c r="F23" s="49">
        <v>40</v>
      </c>
      <c r="G23" s="49">
        <v>1</v>
      </c>
      <c r="H23" s="49">
        <v>19</v>
      </c>
      <c r="I23" s="49">
        <v>1</v>
      </c>
      <c r="J23" s="49">
        <v>0</v>
      </c>
      <c r="K23" s="49">
        <v>8</v>
      </c>
      <c r="L23" s="49">
        <v>3</v>
      </c>
      <c r="M23" s="49">
        <v>6</v>
      </c>
    </row>
    <row r="24" s="51" customFormat="1" spans="1:14">
      <c r="A24" s="58"/>
      <c r="B24" s="59" t="s">
        <v>675</v>
      </c>
      <c r="C24" s="59" t="b">
        <f>FALSE()</f>
        <v>0</v>
      </c>
      <c r="D24" s="59"/>
      <c r="E24" s="59">
        <v>0</v>
      </c>
      <c r="F24" s="59">
        <v>10</v>
      </c>
      <c r="G24" s="59">
        <v>1</v>
      </c>
      <c r="H24" s="59">
        <v>12</v>
      </c>
      <c r="I24" s="49">
        <v>1</v>
      </c>
      <c r="J24" s="59">
        <v>0</v>
      </c>
      <c r="K24" s="59">
        <v>3</v>
      </c>
      <c r="L24" s="59">
        <v>30</v>
      </c>
      <c r="M24" s="59">
        <v>1</v>
      </c>
      <c r="N24" s="51">
        <v>2</v>
      </c>
    </row>
    <row r="25" s="52" customFormat="1" spans="1:14">
      <c r="A25" s="60" t="s">
        <v>329</v>
      </c>
      <c r="B25" s="52" t="s">
        <v>676</v>
      </c>
      <c r="C25" s="52" t="b">
        <f>FALSE()</f>
        <v>0</v>
      </c>
      <c r="D25" s="52" t="s">
        <v>677</v>
      </c>
      <c r="G25" s="52">
        <v>1</v>
      </c>
      <c r="H25" s="52">
        <v>12</v>
      </c>
      <c r="I25" s="52">
        <v>3</v>
      </c>
      <c r="J25" s="52">
        <v>0</v>
      </c>
      <c r="K25" s="52">
        <v>6</v>
      </c>
      <c r="L25" s="52">
        <v>1</v>
      </c>
    </row>
    <row r="26" s="52" customFormat="1" spans="1:14">
      <c r="A26" s="60"/>
      <c r="B26" s="52" t="s">
        <v>654</v>
      </c>
      <c r="C26" s="52" t="b">
        <f>FALSE()</f>
        <v>0</v>
      </c>
      <c r="D26" s="52" t="s">
        <v>678</v>
      </c>
      <c r="G26" s="52">
        <v>1</v>
      </c>
      <c r="H26" s="52">
        <v>2.5</v>
      </c>
      <c r="I26" s="52">
        <v>1</v>
      </c>
      <c r="J26" s="52">
        <v>0</v>
      </c>
      <c r="K26" s="52">
        <v>0</v>
      </c>
      <c r="L26" s="52">
        <v>1</v>
      </c>
    </row>
    <row r="27" s="49" customFormat="1" spans="1:14">
      <c r="A27" s="58" t="s">
        <v>338</v>
      </c>
      <c r="B27" s="49" t="s">
        <v>679</v>
      </c>
      <c r="C27" s="49" t="b">
        <f>FALSE()</f>
        <v>0</v>
      </c>
      <c r="D27" s="49" t="s">
        <v>677</v>
      </c>
      <c r="E27" s="49">
        <v>33</v>
      </c>
      <c r="F27" s="49">
        <v>100</v>
      </c>
      <c r="G27" s="49">
        <v>1</v>
      </c>
      <c r="H27" s="49">
        <v>10</v>
      </c>
      <c r="I27" s="49">
        <v>3</v>
      </c>
      <c r="J27" s="49">
        <v>0</v>
      </c>
      <c r="K27" s="49">
        <v>10</v>
      </c>
      <c r="L27" s="49">
        <v>1</v>
      </c>
    </row>
    <row r="28" s="49" customFormat="1" spans="1:14">
      <c r="A28" s="58"/>
      <c r="B28" s="49" t="s">
        <v>680</v>
      </c>
      <c r="C28" s="49" t="b">
        <f>FALSE()</f>
        <v>0</v>
      </c>
      <c r="D28" s="49" t="s">
        <v>678</v>
      </c>
      <c r="G28" s="49">
        <v>1</v>
      </c>
      <c r="H28" s="49">
        <v>4</v>
      </c>
      <c r="I28" s="49">
        <v>1</v>
      </c>
      <c r="J28" s="49">
        <v>0</v>
      </c>
      <c r="K28" s="49">
        <v>3</v>
      </c>
      <c r="L28" s="49">
        <v>1</v>
      </c>
    </row>
    <row r="29" s="49" customFormat="1" spans="1:14">
      <c r="A29" s="58"/>
      <c r="B29" s="49" t="s">
        <v>681</v>
      </c>
      <c r="C29" s="49" t="b">
        <f t="shared" ref="C29:C34" si="2">TRUE()</f>
        <v>1</v>
      </c>
      <c r="D29" s="49" t="s">
        <v>682</v>
      </c>
      <c r="E29" s="49">
        <v>66</v>
      </c>
      <c r="F29" s="49">
        <v>100</v>
      </c>
      <c r="G29" s="49">
        <v>1</v>
      </c>
      <c r="H29" s="49">
        <v>14</v>
      </c>
      <c r="I29" s="49">
        <v>1</v>
      </c>
      <c r="J29" s="49">
        <v>22</v>
      </c>
      <c r="K29" s="49">
        <v>10</v>
      </c>
      <c r="L29" s="49">
        <v>2</v>
      </c>
      <c r="M29" s="49">
        <v>1</v>
      </c>
      <c r="N29" s="49">
        <v>3</v>
      </c>
    </row>
    <row r="30" s="49" customFormat="1" spans="1:14">
      <c r="A30" s="58"/>
      <c r="B30" s="49" t="s">
        <v>683</v>
      </c>
      <c r="C30" s="49" t="b">
        <f t="shared" si="2"/>
        <v>1</v>
      </c>
      <c r="D30" s="49" t="s">
        <v>682</v>
      </c>
      <c r="E30" s="49">
        <v>0</v>
      </c>
      <c r="F30" s="49">
        <v>66</v>
      </c>
      <c r="G30" s="49">
        <v>1</v>
      </c>
      <c r="H30" s="49">
        <v>14</v>
      </c>
      <c r="I30" s="49">
        <v>1</v>
      </c>
      <c r="J30" s="49">
        <v>22</v>
      </c>
      <c r="K30" s="49">
        <v>8</v>
      </c>
      <c r="L30" s="49">
        <v>4</v>
      </c>
      <c r="M30" s="49">
        <v>3</v>
      </c>
      <c r="N30" s="49">
        <v>3</v>
      </c>
    </row>
    <row r="31" s="49" customFormat="1" spans="1:14">
      <c r="A31" s="58"/>
      <c r="B31" s="49" t="s">
        <v>684</v>
      </c>
      <c r="C31" s="49" t="b">
        <f t="shared" si="2"/>
        <v>1</v>
      </c>
      <c r="D31" s="49" t="s">
        <v>685</v>
      </c>
      <c r="E31" s="49">
        <v>66</v>
      </c>
      <c r="F31" s="49">
        <v>100</v>
      </c>
      <c r="G31" s="49">
        <v>1</v>
      </c>
      <c r="H31" s="49">
        <v>16</v>
      </c>
      <c r="I31" s="49">
        <v>1</v>
      </c>
      <c r="J31" s="49">
        <v>12</v>
      </c>
      <c r="K31" s="49">
        <v>10</v>
      </c>
      <c r="L31" s="49">
        <v>100</v>
      </c>
    </row>
    <row r="32" s="49" customFormat="1" spans="1:14">
      <c r="A32" s="58"/>
      <c r="B32" s="49" t="s">
        <v>686</v>
      </c>
      <c r="C32" s="49" t="b">
        <f t="shared" si="2"/>
        <v>1</v>
      </c>
      <c r="D32" s="49" t="s">
        <v>685</v>
      </c>
      <c r="E32" s="49">
        <v>33</v>
      </c>
      <c r="F32" s="49">
        <v>66</v>
      </c>
      <c r="G32" s="49">
        <v>1</v>
      </c>
      <c r="H32" s="49">
        <v>16</v>
      </c>
      <c r="I32" s="49">
        <v>2</v>
      </c>
      <c r="J32" s="49">
        <v>12</v>
      </c>
      <c r="K32" s="49">
        <v>9</v>
      </c>
      <c r="L32" s="49">
        <v>200</v>
      </c>
    </row>
    <row r="33" s="49" customFormat="1" spans="1:14">
      <c r="A33" s="58"/>
      <c r="B33" s="49" t="s">
        <v>687</v>
      </c>
      <c r="C33" s="49" t="b">
        <f t="shared" si="2"/>
        <v>1</v>
      </c>
      <c r="D33" s="49" t="s">
        <v>685</v>
      </c>
      <c r="E33" s="49">
        <v>0</v>
      </c>
      <c r="F33" s="49">
        <v>33</v>
      </c>
      <c r="G33" s="49">
        <v>1</v>
      </c>
      <c r="H33" s="49">
        <v>16</v>
      </c>
      <c r="I33" s="49">
        <v>3</v>
      </c>
      <c r="J33" s="49">
        <v>12</v>
      </c>
      <c r="K33" s="49">
        <v>8</v>
      </c>
      <c r="L33" s="49">
        <v>300</v>
      </c>
    </row>
    <row r="34" s="47" customFormat="1" spans="1:14">
      <c r="A34" s="61" t="s">
        <v>348</v>
      </c>
      <c r="B34" s="47" t="s">
        <v>688</v>
      </c>
      <c r="C34" s="47" t="b">
        <f t="shared" si="2"/>
        <v>1</v>
      </c>
      <c r="D34" s="47" t="s">
        <v>689</v>
      </c>
      <c r="G34" s="47">
        <v>1</v>
      </c>
      <c r="H34" s="47">
        <v>14</v>
      </c>
      <c r="I34" s="47">
        <v>1</v>
      </c>
      <c r="J34" s="47">
        <v>22</v>
      </c>
      <c r="K34" s="47">
        <v>9</v>
      </c>
      <c r="L34" s="47">
        <v>2</v>
      </c>
      <c r="M34" s="47">
        <v>1</v>
      </c>
      <c r="N34" s="47">
        <v>2.5</v>
      </c>
    </row>
    <row r="35" s="47" customFormat="1" spans="1:14">
      <c r="A35" s="61"/>
      <c r="B35" s="47" t="s">
        <v>690</v>
      </c>
      <c r="C35" s="47" t="b">
        <f>FALSE()</f>
        <v>0</v>
      </c>
      <c r="D35" s="47" t="s">
        <v>691</v>
      </c>
      <c r="G35" s="47">
        <v>1</v>
      </c>
      <c r="H35" s="47">
        <v>15</v>
      </c>
      <c r="I35" s="47">
        <v>1</v>
      </c>
      <c r="J35" s="47">
        <v>0</v>
      </c>
      <c r="K35" s="47">
        <v>6</v>
      </c>
      <c r="L35" s="47">
        <v>1</v>
      </c>
    </row>
    <row r="36" s="46" customFormat="1" spans="1:14">
      <c r="A36" s="46" t="s">
        <v>372</v>
      </c>
      <c r="B36" s="46" t="s">
        <v>692</v>
      </c>
      <c r="C36" s="46" t="b">
        <f t="shared" ref="C36:C50" si="3">TRUE()</f>
        <v>1</v>
      </c>
      <c r="D36" s="46" t="s">
        <v>693</v>
      </c>
      <c r="G36" s="46">
        <v>1</v>
      </c>
      <c r="H36" s="46">
        <v>14</v>
      </c>
      <c r="I36" s="46">
        <v>1</v>
      </c>
      <c r="J36" s="46">
        <v>6</v>
      </c>
      <c r="K36" s="46">
        <v>10</v>
      </c>
      <c r="L36" s="46">
        <v>8</v>
      </c>
    </row>
    <row r="37" s="53" customFormat="1" spans="1:14">
      <c r="A37" s="53" t="s">
        <v>375</v>
      </c>
      <c r="B37" s="53" t="s">
        <v>692</v>
      </c>
      <c r="C37" s="53" t="b">
        <f t="shared" si="3"/>
        <v>1</v>
      </c>
      <c r="D37" s="53" t="s">
        <v>694</v>
      </c>
      <c r="G37" s="53">
        <v>1</v>
      </c>
      <c r="H37" s="53">
        <v>14</v>
      </c>
      <c r="I37" s="53">
        <v>0.9</v>
      </c>
      <c r="J37" s="53">
        <v>6</v>
      </c>
      <c r="K37" s="53">
        <v>12</v>
      </c>
      <c r="L37" s="53">
        <v>4</v>
      </c>
    </row>
    <row r="38" s="48" customFormat="1" spans="1:14">
      <c r="A38" s="48" t="s">
        <v>378</v>
      </c>
      <c r="B38" s="48" t="s">
        <v>692</v>
      </c>
      <c r="C38" s="48" t="b">
        <f t="shared" si="3"/>
        <v>1</v>
      </c>
      <c r="D38" s="48" t="s">
        <v>695</v>
      </c>
      <c r="G38" s="48">
        <v>1</v>
      </c>
      <c r="H38" s="48">
        <v>14</v>
      </c>
      <c r="I38" s="48">
        <v>0.9</v>
      </c>
      <c r="J38" s="48">
        <v>6</v>
      </c>
      <c r="K38" s="48">
        <v>14</v>
      </c>
      <c r="L38" s="48">
        <v>4</v>
      </c>
    </row>
    <row r="39" s="49" customFormat="1" spans="1:14">
      <c r="A39" s="58" t="s">
        <v>381</v>
      </c>
      <c r="B39" s="49" t="s">
        <v>696</v>
      </c>
      <c r="C39" s="49" t="b">
        <f t="shared" si="3"/>
        <v>1</v>
      </c>
      <c r="D39" s="49" t="s">
        <v>697</v>
      </c>
      <c r="E39" s="49">
        <v>66</v>
      </c>
      <c r="F39" s="49">
        <v>100</v>
      </c>
      <c r="G39" s="49">
        <v>1</v>
      </c>
      <c r="H39" s="49">
        <v>12</v>
      </c>
      <c r="I39" s="49">
        <v>1</v>
      </c>
      <c r="J39" s="49">
        <v>6</v>
      </c>
      <c r="K39" s="49">
        <v>10</v>
      </c>
      <c r="L39" s="49">
        <v>2</v>
      </c>
    </row>
    <row r="40" s="49" customFormat="1" spans="1:14">
      <c r="A40" s="58"/>
      <c r="B40" s="49" t="s">
        <v>698</v>
      </c>
      <c r="C40" s="49" t="b">
        <f t="shared" si="3"/>
        <v>1</v>
      </c>
      <c r="D40" s="49" t="s">
        <v>697</v>
      </c>
      <c r="E40" s="49">
        <v>33</v>
      </c>
      <c r="F40" s="49">
        <v>66</v>
      </c>
      <c r="G40" s="49">
        <v>1</v>
      </c>
      <c r="H40" s="49">
        <v>14</v>
      </c>
      <c r="I40" s="49">
        <v>1</v>
      </c>
      <c r="J40" s="49">
        <v>6</v>
      </c>
      <c r="K40" s="49">
        <v>9</v>
      </c>
      <c r="L40" s="49">
        <v>4</v>
      </c>
      <c r="M40" s="49">
        <v>1</v>
      </c>
    </row>
    <row r="41" s="49" customFormat="1" spans="1:14">
      <c r="A41" s="58"/>
      <c r="B41" s="49" t="s">
        <v>699</v>
      </c>
      <c r="C41" s="49" t="b">
        <f t="shared" si="3"/>
        <v>1</v>
      </c>
      <c r="D41" s="49" t="s">
        <v>697</v>
      </c>
      <c r="E41" s="49">
        <v>0</v>
      </c>
      <c r="F41" s="49">
        <v>33</v>
      </c>
      <c r="G41" s="49">
        <v>1</v>
      </c>
      <c r="H41" s="49">
        <v>16</v>
      </c>
      <c r="I41" s="49">
        <v>1</v>
      </c>
      <c r="J41" s="49">
        <v>6</v>
      </c>
      <c r="K41" s="49">
        <v>8</v>
      </c>
      <c r="L41" s="49">
        <v>6</v>
      </c>
      <c r="M41" s="49">
        <v>1</v>
      </c>
    </row>
    <row r="42" s="49" customFormat="1" spans="1:14">
      <c r="A42" s="58"/>
      <c r="B42" s="49" t="s">
        <v>700</v>
      </c>
      <c r="C42" s="49" t="b">
        <f t="shared" si="3"/>
        <v>1</v>
      </c>
      <c r="D42" s="49" t="s">
        <v>701</v>
      </c>
      <c r="E42" s="49">
        <v>66</v>
      </c>
      <c r="F42" s="49">
        <v>100</v>
      </c>
      <c r="G42" s="49">
        <v>1</v>
      </c>
      <c r="H42" s="49">
        <v>16</v>
      </c>
      <c r="I42" s="49">
        <v>2</v>
      </c>
      <c r="J42" s="49">
        <v>30</v>
      </c>
      <c r="K42" s="49">
        <v>10</v>
      </c>
      <c r="L42" s="49">
        <v>2</v>
      </c>
    </row>
    <row r="43" s="49" customFormat="1" spans="1:14">
      <c r="A43" s="58"/>
      <c r="B43" s="49" t="s">
        <v>702</v>
      </c>
      <c r="C43" s="49" t="b">
        <f t="shared" si="3"/>
        <v>1</v>
      </c>
      <c r="D43" s="49" t="s">
        <v>701</v>
      </c>
      <c r="E43" s="49">
        <v>33</v>
      </c>
      <c r="F43" s="49">
        <v>66</v>
      </c>
      <c r="G43" s="49">
        <v>1</v>
      </c>
      <c r="H43" s="49">
        <v>16</v>
      </c>
      <c r="I43" s="49">
        <v>3</v>
      </c>
      <c r="J43" s="49">
        <v>35</v>
      </c>
      <c r="K43" s="49">
        <v>9</v>
      </c>
      <c r="L43" s="49">
        <v>4</v>
      </c>
    </row>
    <row r="44" s="49" customFormat="1" spans="1:14">
      <c r="A44" s="58"/>
      <c r="B44" s="49" t="s">
        <v>703</v>
      </c>
      <c r="C44" s="49" t="b">
        <f t="shared" si="3"/>
        <v>1</v>
      </c>
      <c r="D44" s="49" t="s">
        <v>701</v>
      </c>
      <c r="E44" s="49">
        <v>0</v>
      </c>
      <c r="F44" s="49">
        <v>33</v>
      </c>
      <c r="G44" s="49">
        <v>1</v>
      </c>
      <c r="H44" s="49">
        <v>16</v>
      </c>
      <c r="I44" s="49">
        <v>4</v>
      </c>
      <c r="J44" s="49">
        <v>40</v>
      </c>
      <c r="K44" s="49">
        <v>8</v>
      </c>
      <c r="L44" s="49">
        <v>6</v>
      </c>
    </row>
    <row r="45" s="49" customFormat="1" spans="1:14">
      <c r="A45" s="58"/>
      <c r="B45" s="49" t="s">
        <v>704</v>
      </c>
      <c r="C45" s="49" t="b">
        <f t="shared" si="3"/>
        <v>1</v>
      </c>
      <c r="D45" s="49" t="s">
        <v>705</v>
      </c>
      <c r="E45" s="49">
        <v>66</v>
      </c>
      <c r="F45" s="49">
        <v>100</v>
      </c>
      <c r="G45" s="49">
        <v>1</v>
      </c>
      <c r="H45" s="49">
        <v>12</v>
      </c>
      <c r="I45" s="49">
        <v>1</v>
      </c>
      <c r="J45" s="49">
        <v>6</v>
      </c>
      <c r="K45" s="49">
        <v>10</v>
      </c>
      <c r="L45" s="49">
        <v>10</v>
      </c>
    </row>
    <row r="46" s="49" customFormat="1" spans="1:14">
      <c r="A46" s="58"/>
      <c r="B46" s="49" t="s">
        <v>706</v>
      </c>
      <c r="C46" s="49" t="b">
        <f t="shared" si="3"/>
        <v>1</v>
      </c>
      <c r="D46" s="49" t="s">
        <v>705</v>
      </c>
      <c r="E46" s="49">
        <v>33</v>
      </c>
      <c r="F46" s="49">
        <v>66</v>
      </c>
      <c r="G46" s="49">
        <v>1</v>
      </c>
      <c r="H46" s="49">
        <v>14</v>
      </c>
      <c r="I46" s="49">
        <v>1</v>
      </c>
      <c r="J46" s="49">
        <v>6</v>
      </c>
      <c r="K46" s="49">
        <v>9</v>
      </c>
      <c r="L46" s="49">
        <v>20</v>
      </c>
    </row>
    <row r="47" s="49" customFormat="1" spans="1:14">
      <c r="A47" s="58"/>
      <c r="B47" s="49" t="s">
        <v>707</v>
      </c>
      <c r="C47" s="49" t="b">
        <f t="shared" si="3"/>
        <v>1</v>
      </c>
      <c r="D47" s="49" t="s">
        <v>705</v>
      </c>
      <c r="E47" s="49">
        <v>0</v>
      </c>
      <c r="F47" s="49">
        <v>33</v>
      </c>
      <c r="G47" s="49">
        <v>1</v>
      </c>
      <c r="H47" s="49">
        <v>16</v>
      </c>
      <c r="I47" s="49">
        <v>1</v>
      </c>
      <c r="J47" s="49">
        <v>6</v>
      </c>
      <c r="K47" s="49">
        <v>8</v>
      </c>
      <c r="L47" s="49">
        <v>30</v>
      </c>
    </row>
    <row r="48" spans="1:14">
      <c r="A48" s="15" t="s">
        <v>396</v>
      </c>
      <c r="B48" t="s">
        <v>708</v>
      </c>
      <c r="C48" t="b">
        <f t="shared" si="3"/>
        <v>1</v>
      </c>
      <c r="D48" t="s">
        <v>709</v>
      </c>
      <c r="G48">
        <v>1</v>
      </c>
      <c r="H48">
        <v>10</v>
      </c>
      <c r="I48">
        <v>3</v>
      </c>
      <c r="J48">
        <v>15</v>
      </c>
      <c r="K48">
        <v>1</v>
      </c>
      <c r="L48">
        <v>3</v>
      </c>
    </row>
    <row r="49" spans="1:14">
      <c r="A49" s="15" t="s">
        <v>399</v>
      </c>
      <c r="B49" t="s">
        <v>710</v>
      </c>
      <c r="C49" t="b">
        <f t="shared" si="3"/>
        <v>1</v>
      </c>
      <c r="D49" t="s">
        <v>701</v>
      </c>
      <c r="G49">
        <v>1</v>
      </c>
      <c r="H49">
        <v>12</v>
      </c>
      <c r="I49">
        <v>3</v>
      </c>
      <c r="J49">
        <v>30</v>
      </c>
      <c r="K49">
        <v>1</v>
      </c>
      <c r="L49">
        <v>3</v>
      </c>
    </row>
    <row r="50" spans="1:14">
      <c r="A50" s="15" t="s">
        <v>402</v>
      </c>
      <c r="B50" t="s">
        <v>711</v>
      </c>
      <c r="C50" t="b">
        <f t="shared" si="3"/>
        <v>1</v>
      </c>
      <c r="D50" t="s">
        <v>712</v>
      </c>
      <c r="G50">
        <v>1</v>
      </c>
      <c r="H50">
        <v>12</v>
      </c>
      <c r="I50">
        <v>3</v>
      </c>
      <c r="J50">
        <v>0</v>
      </c>
      <c r="K50">
        <v>1</v>
      </c>
      <c r="L50">
        <v>3</v>
      </c>
    </row>
    <row r="51" s="46" customFormat="1" spans="1:14">
      <c r="A51" s="62" t="s">
        <v>384</v>
      </c>
      <c r="B51" s="46" t="s">
        <v>680</v>
      </c>
      <c r="C51" s="46" t="b">
        <f>FALSE()</f>
        <v>0</v>
      </c>
      <c r="D51" s="46" t="s">
        <v>713</v>
      </c>
      <c r="G51" s="46">
        <v>1</v>
      </c>
      <c r="H51" s="46">
        <v>3</v>
      </c>
      <c r="I51" s="46">
        <v>1</v>
      </c>
      <c r="J51" s="46">
        <v>0</v>
      </c>
      <c r="K51" s="46">
        <v>3</v>
      </c>
      <c r="L51" s="46">
        <v>1</v>
      </c>
    </row>
    <row r="52" s="46" customFormat="1" spans="1:14">
      <c r="A52" s="62"/>
      <c r="B52" s="46" t="s">
        <v>714</v>
      </c>
      <c r="C52" s="46" t="b">
        <f>FALSE()</f>
        <v>0</v>
      </c>
      <c r="D52" s="46" t="s">
        <v>715</v>
      </c>
      <c r="G52" s="46">
        <v>1</v>
      </c>
      <c r="H52" s="46">
        <v>11</v>
      </c>
      <c r="I52" s="46">
        <v>1</v>
      </c>
      <c r="J52" s="46">
        <v>6</v>
      </c>
      <c r="K52" s="46">
        <v>9</v>
      </c>
      <c r="L52" s="46">
        <v>1</v>
      </c>
      <c r="M52" s="46">
        <v>2</v>
      </c>
      <c r="N52" s="46">
        <v>1.75</v>
      </c>
    </row>
    <row r="53" s="48" customFormat="1" spans="1:14">
      <c r="A53" s="63" t="s">
        <v>387</v>
      </c>
      <c r="B53" s="48" t="s">
        <v>680</v>
      </c>
      <c r="C53" s="48" t="b">
        <f>FALSE()</f>
        <v>0</v>
      </c>
      <c r="D53" s="48" t="s">
        <v>713</v>
      </c>
      <c r="G53" s="48">
        <v>1</v>
      </c>
      <c r="H53" s="48">
        <v>2.5</v>
      </c>
      <c r="I53" s="48">
        <v>2</v>
      </c>
      <c r="J53" s="48">
        <v>0</v>
      </c>
      <c r="K53" s="48">
        <v>0</v>
      </c>
      <c r="L53" s="48">
        <v>1</v>
      </c>
    </row>
    <row r="54" s="48" customFormat="1" spans="1:14">
      <c r="A54" s="63"/>
      <c r="B54" s="48" t="s">
        <v>716</v>
      </c>
      <c r="C54" s="48" t="b">
        <f>TRUE()</f>
        <v>1</v>
      </c>
      <c r="D54" s="48" t="s">
        <v>717</v>
      </c>
      <c r="G54" s="48">
        <v>1</v>
      </c>
      <c r="H54" s="48">
        <v>16</v>
      </c>
      <c r="I54" s="48">
        <v>1</v>
      </c>
      <c r="J54" s="48">
        <v>8</v>
      </c>
      <c r="K54" s="48">
        <v>9</v>
      </c>
      <c r="L54" s="48">
        <v>5</v>
      </c>
    </row>
    <row r="55" s="47" customFormat="1" spans="1:14">
      <c r="A55" s="64" t="s">
        <v>390</v>
      </c>
      <c r="B55" s="47" t="s">
        <v>680</v>
      </c>
      <c r="C55" s="47" t="b">
        <f>FALSE()</f>
        <v>0</v>
      </c>
      <c r="D55" s="47" t="s">
        <v>713</v>
      </c>
      <c r="G55" s="47">
        <v>1</v>
      </c>
      <c r="H55" s="47">
        <v>2.5</v>
      </c>
      <c r="I55" s="47">
        <v>2</v>
      </c>
      <c r="J55" s="47">
        <v>0</v>
      </c>
      <c r="K55" s="47">
        <v>3</v>
      </c>
      <c r="L55" s="47">
        <v>1</v>
      </c>
    </row>
    <row r="56" s="47" customFormat="1" spans="1:14">
      <c r="A56" s="64"/>
      <c r="B56" s="47" t="s">
        <v>718</v>
      </c>
      <c r="C56" s="47" t="b">
        <f>TRUE()</f>
        <v>1</v>
      </c>
      <c r="D56" s="47" t="s">
        <v>719</v>
      </c>
      <c r="G56" s="47">
        <v>1</v>
      </c>
      <c r="H56" s="47">
        <v>15</v>
      </c>
      <c r="I56" s="47">
        <v>2</v>
      </c>
      <c r="J56" s="47">
        <v>16</v>
      </c>
      <c r="K56" s="47">
        <v>12</v>
      </c>
      <c r="L56" s="47">
        <v>4</v>
      </c>
      <c r="N56" s="47">
        <v>2.25</v>
      </c>
    </row>
    <row r="57" s="54" customFormat="1" spans="1:14">
      <c r="A57" s="65" t="s">
        <v>393</v>
      </c>
      <c r="B57" s="54" t="s">
        <v>680</v>
      </c>
      <c r="C57" s="54" t="b">
        <f>FALSE()</f>
        <v>0</v>
      </c>
      <c r="D57" s="54" t="s">
        <v>713</v>
      </c>
      <c r="G57" s="54">
        <v>1</v>
      </c>
      <c r="H57" s="54">
        <v>5</v>
      </c>
      <c r="I57" s="54">
        <v>1</v>
      </c>
      <c r="K57" s="54">
        <v>3</v>
      </c>
      <c r="L57" s="54">
        <v>1</v>
      </c>
    </row>
    <row r="58" s="54" customFormat="1" ht="14.25" customHeight="1" spans="1:14">
      <c r="A58" s="65"/>
      <c r="B58" s="54" t="s">
        <v>720</v>
      </c>
      <c r="C58" s="54" t="b">
        <f>FALSE()</f>
        <v>0</v>
      </c>
      <c r="D58" s="54" t="s">
        <v>721</v>
      </c>
      <c r="E58" s="54">
        <v>66</v>
      </c>
      <c r="F58" s="54">
        <v>100</v>
      </c>
      <c r="G58" s="54">
        <v>1</v>
      </c>
      <c r="H58" s="54">
        <v>14</v>
      </c>
      <c r="I58" s="54">
        <v>1</v>
      </c>
      <c r="J58" s="54">
        <v>6</v>
      </c>
      <c r="K58" s="49">
        <v>10</v>
      </c>
      <c r="L58" s="49">
        <v>2</v>
      </c>
      <c r="M58" s="54">
        <v>2</v>
      </c>
      <c r="N58" s="54">
        <v>2</v>
      </c>
    </row>
    <row r="59" s="54" customFormat="1" spans="1:14">
      <c r="A59" s="65"/>
      <c r="B59" s="54" t="s">
        <v>722</v>
      </c>
      <c r="C59" s="54" t="b">
        <f>FALSE()</f>
        <v>0</v>
      </c>
      <c r="D59" s="54" t="s">
        <v>721</v>
      </c>
      <c r="E59" s="54">
        <v>33</v>
      </c>
      <c r="F59" s="54">
        <v>66</v>
      </c>
      <c r="G59" s="54">
        <v>1</v>
      </c>
      <c r="H59" s="54">
        <v>14</v>
      </c>
      <c r="I59" s="54">
        <v>1</v>
      </c>
      <c r="J59" s="54">
        <v>7</v>
      </c>
      <c r="K59" s="49">
        <v>9</v>
      </c>
      <c r="L59" s="49">
        <v>3</v>
      </c>
      <c r="M59" s="54">
        <v>4</v>
      </c>
      <c r="N59" s="54">
        <v>2</v>
      </c>
    </row>
    <row r="60" s="54" customFormat="1" spans="1:14">
      <c r="A60" s="65"/>
      <c r="B60" s="54" t="s">
        <v>723</v>
      </c>
      <c r="C60" s="54" t="b">
        <f>FALSE()</f>
        <v>0</v>
      </c>
      <c r="D60" s="54" t="s">
        <v>721</v>
      </c>
      <c r="E60" s="54">
        <v>0</v>
      </c>
      <c r="F60" s="54">
        <v>33</v>
      </c>
      <c r="G60" s="54">
        <v>1</v>
      </c>
      <c r="H60" s="54">
        <v>14</v>
      </c>
      <c r="I60" s="54">
        <v>1</v>
      </c>
      <c r="J60" s="54">
        <v>8</v>
      </c>
      <c r="K60" s="49">
        <v>8</v>
      </c>
      <c r="L60" s="49">
        <v>3</v>
      </c>
      <c r="M60" s="54">
        <v>6</v>
      </c>
      <c r="N60" s="54">
        <v>2</v>
      </c>
    </row>
    <row r="61" s="54" customFormat="1" spans="1:14">
      <c r="A61" s="65"/>
      <c r="B61" s="54" t="s">
        <v>724</v>
      </c>
      <c r="C61" s="54" t="b">
        <f t="shared" ref="C61:C68" si="4">TRUE()</f>
        <v>1</v>
      </c>
      <c r="D61" s="54" t="s">
        <v>717</v>
      </c>
      <c r="E61" s="54">
        <v>66</v>
      </c>
      <c r="F61" s="54">
        <v>100</v>
      </c>
      <c r="G61" s="54">
        <v>1</v>
      </c>
      <c r="H61" s="54">
        <v>18</v>
      </c>
      <c r="I61" s="54">
        <v>1</v>
      </c>
      <c r="J61" s="54">
        <v>12</v>
      </c>
      <c r="K61" s="49">
        <v>10</v>
      </c>
      <c r="L61" s="49">
        <v>6</v>
      </c>
    </row>
    <row r="62" s="54" customFormat="1" spans="1:14">
      <c r="A62" s="65"/>
      <c r="B62" s="54" t="s">
        <v>725</v>
      </c>
      <c r="C62" s="54" t="b">
        <f t="shared" si="4"/>
        <v>1</v>
      </c>
      <c r="D62" s="54" t="s">
        <v>717</v>
      </c>
      <c r="E62" s="54">
        <v>33</v>
      </c>
      <c r="F62" s="54">
        <v>66</v>
      </c>
      <c r="G62" s="54">
        <v>1</v>
      </c>
      <c r="H62" s="54">
        <v>19</v>
      </c>
      <c r="I62" s="54">
        <v>1</v>
      </c>
      <c r="J62" s="54">
        <v>12</v>
      </c>
      <c r="K62" s="49">
        <v>9</v>
      </c>
      <c r="L62" s="49">
        <v>6</v>
      </c>
      <c r="M62" s="54">
        <v>2</v>
      </c>
    </row>
    <row r="63" s="54" customFormat="1" spans="1:14">
      <c r="A63" s="65"/>
      <c r="B63" s="54" t="s">
        <v>726</v>
      </c>
      <c r="C63" s="54" t="b">
        <f t="shared" si="4"/>
        <v>1</v>
      </c>
      <c r="D63" s="54" t="s">
        <v>717</v>
      </c>
      <c r="E63" s="54">
        <v>0</v>
      </c>
      <c r="F63" s="54">
        <v>33</v>
      </c>
      <c r="G63" s="54">
        <v>1</v>
      </c>
      <c r="H63" s="54">
        <v>20</v>
      </c>
      <c r="I63" s="54">
        <v>1</v>
      </c>
      <c r="J63" s="54">
        <v>12</v>
      </c>
      <c r="K63" s="49">
        <v>8</v>
      </c>
      <c r="L63" s="49">
        <v>6</v>
      </c>
      <c r="M63" s="54">
        <v>4</v>
      </c>
    </row>
    <row r="64" s="54" customFormat="1" spans="1:14">
      <c r="A64" s="65"/>
      <c r="B64" s="54" t="s">
        <v>727</v>
      </c>
      <c r="C64" s="54" t="b">
        <f t="shared" si="4"/>
        <v>1</v>
      </c>
      <c r="D64" s="54" t="s">
        <v>719</v>
      </c>
      <c r="E64" s="54">
        <v>66</v>
      </c>
      <c r="F64" s="54">
        <v>100</v>
      </c>
      <c r="G64" s="54">
        <v>1</v>
      </c>
      <c r="H64" s="54">
        <v>16</v>
      </c>
      <c r="I64" s="54">
        <v>2</v>
      </c>
      <c r="J64" s="54">
        <v>16</v>
      </c>
      <c r="K64" s="49">
        <v>10</v>
      </c>
      <c r="L64" s="49">
        <v>4</v>
      </c>
      <c r="N64" s="54">
        <v>2.5</v>
      </c>
    </row>
    <row r="65" s="54" customFormat="1" spans="1:14">
      <c r="A65" s="65"/>
      <c r="B65" s="54" t="s">
        <v>728</v>
      </c>
      <c r="C65" s="54" t="b">
        <f t="shared" si="4"/>
        <v>1</v>
      </c>
      <c r="D65" s="54" t="s">
        <v>719</v>
      </c>
      <c r="E65" s="54">
        <v>33</v>
      </c>
      <c r="F65" s="54">
        <v>66</v>
      </c>
      <c r="G65" s="54">
        <v>1</v>
      </c>
      <c r="H65" s="54">
        <v>17</v>
      </c>
      <c r="I65" s="54">
        <v>2</v>
      </c>
      <c r="J65" s="54">
        <v>18</v>
      </c>
      <c r="K65" s="49">
        <v>9</v>
      </c>
      <c r="L65" s="49">
        <v>8</v>
      </c>
      <c r="N65" s="54">
        <v>2.5</v>
      </c>
    </row>
    <row r="66" s="54" customFormat="1" spans="1:14">
      <c r="A66" s="65"/>
      <c r="B66" s="54" t="s">
        <v>729</v>
      </c>
      <c r="C66" s="54" t="b">
        <f t="shared" si="4"/>
        <v>1</v>
      </c>
      <c r="D66" s="54" t="s">
        <v>719</v>
      </c>
      <c r="E66" s="54">
        <v>0</v>
      </c>
      <c r="F66" s="54">
        <v>33</v>
      </c>
      <c r="G66" s="54">
        <v>1</v>
      </c>
      <c r="H66" s="54">
        <v>18</v>
      </c>
      <c r="I66" s="54">
        <v>2</v>
      </c>
      <c r="J66" s="54">
        <v>20</v>
      </c>
      <c r="K66" s="49">
        <v>8</v>
      </c>
      <c r="L66" s="49">
        <v>12</v>
      </c>
      <c r="N66" s="54">
        <v>2.5</v>
      </c>
    </row>
    <row r="67" s="55" customFormat="1" spans="1:14">
      <c r="A67" s="66" t="s">
        <v>405</v>
      </c>
      <c r="B67" s="55" t="s">
        <v>710</v>
      </c>
      <c r="C67" s="55" t="b">
        <f t="shared" si="4"/>
        <v>1</v>
      </c>
      <c r="D67" s="55" t="s">
        <v>730</v>
      </c>
      <c r="E67" s="55">
        <v>50</v>
      </c>
      <c r="F67" s="55">
        <v>100</v>
      </c>
      <c r="G67" s="55">
        <v>1</v>
      </c>
      <c r="H67" s="55">
        <v>14</v>
      </c>
      <c r="I67" s="55">
        <v>2</v>
      </c>
      <c r="J67" s="55">
        <v>26</v>
      </c>
      <c r="K67" s="55">
        <v>4</v>
      </c>
      <c r="L67" s="55">
        <v>4</v>
      </c>
    </row>
    <row r="68" s="55" customFormat="1" spans="1:14">
      <c r="A68" s="66"/>
      <c r="B68" s="55" t="s">
        <v>711</v>
      </c>
      <c r="C68" s="55" t="b">
        <f t="shared" si="4"/>
        <v>1</v>
      </c>
      <c r="D68" s="55" t="s">
        <v>731</v>
      </c>
      <c r="E68" s="55">
        <v>0</v>
      </c>
      <c r="F68" s="55">
        <v>50</v>
      </c>
      <c r="G68" s="55">
        <v>1</v>
      </c>
      <c r="H68" s="55">
        <v>14</v>
      </c>
      <c r="I68" s="55">
        <v>1</v>
      </c>
      <c r="J68" s="55">
        <v>0</v>
      </c>
      <c r="K68" s="55">
        <v>2</v>
      </c>
      <c r="L68" s="55">
        <v>3</v>
      </c>
    </row>
    <row r="69" s="56" customFormat="1" spans="1:14">
      <c r="A69" s="67" t="s">
        <v>408</v>
      </c>
      <c r="B69" s="56" t="s">
        <v>690</v>
      </c>
      <c r="C69" s="56" t="b">
        <f>FALSE()</f>
        <v>0</v>
      </c>
      <c r="D69" s="56" t="s">
        <v>691</v>
      </c>
      <c r="G69" s="56">
        <v>1</v>
      </c>
      <c r="H69" s="56">
        <v>18</v>
      </c>
      <c r="I69" s="56">
        <v>1</v>
      </c>
      <c r="J69" s="56">
        <v>0</v>
      </c>
      <c r="K69" s="56">
        <v>6</v>
      </c>
      <c r="L69" s="56">
        <v>1</v>
      </c>
    </row>
    <row r="70" s="56" customFormat="1" spans="1:14">
      <c r="A70" s="67"/>
      <c r="B70" s="56" t="s">
        <v>732</v>
      </c>
      <c r="C70" s="56" t="b">
        <f>TRUE()</f>
        <v>1</v>
      </c>
      <c r="D70" s="56" t="s">
        <v>733</v>
      </c>
      <c r="E70" s="56">
        <v>50</v>
      </c>
      <c r="F70" s="56">
        <v>100</v>
      </c>
      <c r="G70" s="56">
        <v>1</v>
      </c>
      <c r="H70" s="56">
        <v>14</v>
      </c>
      <c r="I70" s="56">
        <v>1</v>
      </c>
      <c r="J70" s="56">
        <v>13</v>
      </c>
      <c r="K70" s="56">
        <v>6</v>
      </c>
      <c r="L70" s="56">
        <v>6</v>
      </c>
    </row>
    <row r="71" s="56" customFormat="1" spans="1:14">
      <c r="A71" s="67"/>
      <c r="B71" s="56" t="s">
        <v>734</v>
      </c>
      <c r="C71" s="56" t="b">
        <f>TRUE()</f>
        <v>1</v>
      </c>
      <c r="D71" s="56" t="s">
        <v>735</v>
      </c>
      <c r="E71" s="56">
        <v>0</v>
      </c>
      <c r="F71" s="56">
        <v>50</v>
      </c>
      <c r="G71" s="56">
        <v>1</v>
      </c>
      <c r="H71" s="56">
        <v>14</v>
      </c>
      <c r="I71" s="56">
        <v>1</v>
      </c>
      <c r="J71" s="56">
        <v>11</v>
      </c>
      <c r="K71" s="56">
        <v>3</v>
      </c>
      <c r="L71" s="56">
        <v>8</v>
      </c>
      <c r="M71" s="56">
        <v>2</v>
      </c>
    </row>
    <row r="72" s="57" customFormat="1" spans="1:14">
      <c r="A72" s="68" t="s">
        <v>411</v>
      </c>
      <c r="B72" s="57" t="s">
        <v>736</v>
      </c>
      <c r="C72" s="56" t="b">
        <f>FALSE()</f>
        <v>0</v>
      </c>
      <c r="D72" s="57" t="s">
        <v>737</v>
      </c>
      <c r="G72" s="57">
        <v>1</v>
      </c>
      <c r="H72" s="57">
        <v>14</v>
      </c>
      <c r="I72" s="57">
        <v>1.5</v>
      </c>
      <c r="J72" s="57">
        <v>0</v>
      </c>
      <c r="K72" s="57">
        <v>3</v>
      </c>
      <c r="L72" s="57">
        <v>3</v>
      </c>
    </row>
    <row r="73" s="57" customFormat="1" spans="1:14">
      <c r="A73" s="68"/>
      <c r="B73" s="57" t="s">
        <v>738</v>
      </c>
      <c r="C73" s="56" t="b">
        <f>TRUE()</f>
        <v>1</v>
      </c>
      <c r="D73" s="57" t="s">
        <v>693</v>
      </c>
      <c r="E73" s="57">
        <v>66</v>
      </c>
      <c r="F73" s="57">
        <v>100</v>
      </c>
      <c r="G73" s="57">
        <v>1</v>
      </c>
      <c r="H73" s="57">
        <v>14</v>
      </c>
      <c r="I73" s="57">
        <v>1</v>
      </c>
      <c r="J73" s="57">
        <v>9</v>
      </c>
      <c r="K73" s="57">
        <v>10</v>
      </c>
      <c r="L73" s="57">
        <v>4</v>
      </c>
      <c r="M73" s="57">
        <v>2</v>
      </c>
    </row>
    <row r="74" s="57" customFormat="1" spans="1:14">
      <c r="A74" s="68"/>
      <c r="B74" s="57" t="s">
        <v>739</v>
      </c>
      <c r="C74" s="56" t="b">
        <f>TRUE()</f>
        <v>1</v>
      </c>
      <c r="D74" s="57" t="s">
        <v>693</v>
      </c>
      <c r="E74" s="57">
        <v>33</v>
      </c>
      <c r="F74" s="57">
        <v>66</v>
      </c>
      <c r="G74" s="57">
        <v>1</v>
      </c>
      <c r="H74" s="57">
        <v>14</v>
      </c>
      <c r="I74" s="57">
        <v>1.5</v>
      </c>
      <c r="J74" s="57">
        <v>11</v>
      </c>
      <c r="K74" s="57">
        <v>8</v>
      </c>
      <c r="L74" s="57">
        <v>4</v>
      </c>
      <c r="M74" s="57">
        <v>4</v>
      </c>
    </row>
    <row r="75" s="57" customFormat="1" spans="1:14">
      <c r="A75" s="68"/>
      <c r="B75" s="57" t="s">
        <v>740</v>
      </c>
      <c r="C75" s="56" t="b">
        <f>TRUE()</f>
        <v>1</v>
      </c>
      <c r="D75" s="57" t="s">
        <v>741</v>
      </c>
      <c r="E75" s="57">
        <v>33</v>
      </c>
      <c r="F75" s="57">
        <v>66</v>
      </c>
      <c r="G75" s="57">
        <v>1</v>
      </c>
      <c r="H75" s="57">
        <v>16</v>
      </c>
      <c r="I75" s="57">
        <v>1</v>
      </c>
      <c r="J75" s="57">
        <v>9</v>
      </c>
      <c r="K75" s="57">
        <v>10</v>
      </c>
      <c r="L75" s="57">
        <v>4</v>
      </c>
    </row>
    <row r="76" s="57" customFormat="1" spans="1:14">
      <c r="A76" s="68"/>
      <c r="B76" s="57" t="s">
        <v>742</v>
      </c>
      <c r="C76" s="56" t="b">
        <f>TRUE()</f>
        <v>1</v>
      </c>
      <c r="D76" s="57" t="s">
        <v>741</v>
      </c>
      <c r="E76" s="57">
        <v>0</v>
      </c>
      <c r="F76" s="57">
        <v>33</v>
      </c>
      <c r="G76" s="57">
        <v>1</v>
      </c>
      <c r="H76" s="57">
        <v>16</v>
      </c>
      <c r="I76" s="57">
        <v>1.5</v>
      </c>
      <c r="J76" s="57">
        <v>11</v>
      </c>
      <c r="K76" s="57">
        <v>8</v>
      </c>
      <c r="L76" s="57">
        <v>4</v>
      </c>
      <c r="M76" s="57">
        <v>2</v>
      </c>
    </row>
    <row r="77" s="57" customFormat="1" spans="1:14">
      <c r="A77" s="68" t="s">
        <v>414</v>
      </c>
      <c r="B77" s="57" t="s">
        <v>690</v>
      </c>
      <c r="C77" s="56" t="b">
        <f>FALSE()</f>
        <v>0</v>
      </c>
      <c r="D77" s="57" t="s">
        <v>691</v>
      </c>
      <c r="G77" s="57">
        <v>1</v>
      </c>
      <c r="H77" s="57">
        <v>16</v>
      </c>
      <c r="I77" s="57">
        <v>1</v>
      </c>
      <c r="J77" s="57">
        <v>0</v>
      </c>
      <c r="K77" s="57">
        <v>6</v>
      </c>
      <c r="L77" s="57">
        <v>1</v>
      </c>
    </row>
    <row r="78" s="57" customFormat="1" spans="1:14">
      <c r="A78" s="68"/>
      <c r="B78" s="57" t="s">
        <v>738</v>
      </c>
      <c r="C78" s="57" t="b">
        <f t="shared" ref="C78:C86" si="5">TRUE()</f>
        <v>1</v>
      </c>
      <c r="D78" s="57" t="s">
        <v>693</v>
      </c>
      <c r="E78" s="57">
        <v>66</v>
      </c>
      <c r="F78" s="57">
        <v>100</v>
      </c>
      <c r="G78" s="57">
        <v>2</v>
      </c>
      <c r="H78" s="57">
        <v>14</v>
      </c>
      <c r="I78" s="57">
        <v>2</v>
      </c>
      <c r="J78" s="57">
        <v>18</v>
      </c>
      <c r="K78" s="57">
        <v>9</v>
      </c>
      <c r="L78" s="57">
        <v>30</v>
      </c>
    </row>
    <row r="79" s="57" customFormat="1" spans="1:14">
      <c r="A79" s="68"/>
      <c r="B79" s="57" t="s">
        <v>739</v>
      </c>
      <c r="C79" s="57" t="b">
        <f t="shared" si="5"/>
        <v>1</v>
      </c>
      <c r="D79" s="57" t="s">
        <v>693</v>
      </c>
      <c r="E79" s="57">
        <v>33</v>
      </c>
      <c r="F79" s="57">
        <v>66</v>
      </c>
      <c r="G79" s="57">
        <v>2</v>
      </c>
      <c r="H79" s="57">
        <v>14</v>
      </c>
      <c r="I79" s="57">
        <v>2</v>
      </c>
      <c r="J79" s="57">
        <v>18</v>
      </c>
      <c r="K79" s="57">
        <v>8</v>
      </c>
      <c r="L79" s="57">
        <v>60</v>
      </c>
    </row>
    <row r="80" s="57" customFormat="1" spans="1:14">
      <c r="A80" s="68"/>
      <c r="B80" s="57" t="s">
        <v>743</v>
      </c>
      <c r="C80" s="57" t="b">
        <f t="shared" si="5"/>
        <v>1</v>
      </c>
      <c r="D80" s="57" t="s">
        <v>693</v>
      </c>
      <c r="E80" s="57">
        <v>0</v>
      </c>
      <c r="F80" s="57">
        <v>33</v>
      </c>
      <c r="G80" s="57">
        <v>2</v>
      </c>
      <c r="H80" s="57">
        <v>14</v>
      </c>
      <c r="I80" s="57">
        <v>2</v>
      </c>
      <c r="J80" s="57">
        <v>18</v>
      </c>
      <c r="K80" s="57">
        <v>7</v>
      </c>
      <c r="L80" s="57">
        <v>80</v>
      </c>
    </row>
    <row r="81" s="57" customFormat="1" spans="1:13">
      <c r="A81" s="68"/>
      <c r="B81" s="57" t="s">
        <v>744</v>
      </c>
      <c r="C81" s="57" t="b">
        <f t="shared" si="5"/>
        <v>1</v>
      </c>
      <c r="D81" s="57" t="s">
        <v>745</v>
      </c>
      <c r="E81" s="57">
        <v>66</v>
      </c>
      <c r="F81" s="57">
        <v>100</v>
      </c>
      <c r="G81" s="57">
        <v>1</v>
      </c>
      <c r="H81" s="57">
        <v>14</v>
      </c>
      <c r="I81" s="57">
        <v>1</v>
      </c>
      <c r="J81" s="57">
        <v>6</v>
      </c>
      <c r="K81" s="57">
        <v>9</v>
      </c>
      <c r="L81" s="57">
        <v>1</v>
      </c>
    </row>
    <row r="82" s="57" customFormat="1" spans="1:13">
      <c r="A82" s="68"/>
      <c r="B82" s="57" t="s">
        <v>746</v>
      </c>
      <c r="C82" s="57" t="b">
        <f t="shared" si="5"/>
        <v>1</v>
      </c>
      <c r="D82" s="57" t="s">
        <v>745</v>
      </c>
      <c r="E82" s="57">
        <v>33</v>
      </c>
      <c r="F82" s="57">
        <v>66</v>
      </c>
      <c r="G82" s="57">
        <v>1</v>
      </c>
      <c r="H82" s="57">
        <v>14</v>
      </c>
      <c r="I82" s="57">
        <v>1</v>
      </c>
      <c r="J82" s="57">
        <v>7</v>
      </c>
      <c r="K82" s="57">
        <v>8</v>
      </c>
      <c r="L82" s="57">
        <v>1</v>
      </c>
    </row>
    <row r="83" s="57" customFormat="1" spans="1:13">
      <c r="A83" s="68"/>
      <c r="B83" s="57" t="s">
        <v>747</v>
      </c>
      <c r="C83" s="57" t="b">
        <f t="shared" si="5"/>
        <v>1</v>
      </c>
      <c r="D83" s="57" t="s">
        <v>745</v>
      </c>
      <c r="E83" s="57">
        <v>0</v>
      </c>
      <c r="F83" s="57">
        <v>33</v>
      </c>
      <c r="G83" s="57">
        <v>1</v>
      </c>
      <c r="H83" s="57">
        <v>14</v>
      </c>
      <c r="I83" s="57">
        <v>1</v>
      </c>
      <c r="J83" s="57">
        <v>8</v>
      </c>
      <c r="K83" s="57">
        <v>7</v>
      </c>
      <c r="L83" s="57">
        <v>1</v>
      </c>
    </row>
    <row r="84" s="57" customFormat="1" spans="1:13">
      <c r="A84" s="68"/>
      <c r="B84" s="57" t="s">
        <v>748</v>
      </c>
      <c r="C84" s="57" t="b">
        <f t="shared" si="5"/>
        <v>1</v>
      </c>
      <c r="D84" s="57" t="s">
        <v>749</v>
      </c>
      <c r="E84" s="57">
        <v>66</v>
      </c>
      <c r="F84" s="57">
        <v>100</v>
      </c>
      <c r="G84" s="57">
        <v>1</v>
      </c>
      <c r="H84" s="57">
        <v>18</v>
      </c>
      <c r="I84" s="57">
        <v>1</v>
      </c>
      <c r="J84" s="57">
        <v>6</v>
      </c>
      <c r="K84" s="57">
        <v>9</v>
      </c>
      <c r="L84" s="57">
        <v>1</v>
      </c>
      <c r="M84" s="57">
        <v>2</v>
      </c>
    </row>
    <row r="85" s="57" customFormat="1" spans="1:13">
      <c r="A85" s="68"/>
      <c r="B85" s="57" t="s">
        <v>750</v>
      </c>
      <c r="C85" s="57" t="b">
        <f t="shared" si="5"/>
        <v>1</v>
      </c>
      <c r="D85" s="57" t="s">
        <v>749</v>
      </c>
      <c r="E85" s="57">
        <v>33</v>
      </c>
      <c r="F85" s="57">
        <v>66</v>
      </c>
      <c r="G85" s="57">
        <v>1</v>
      </c>
      <c r="H85" s="57">
        <v>18</v>
      </c>
      <c r="I85" s="57">
        <v>1</v>
      </c>
      <c r="J85" s="57">
        <v>6</v>
      </c>
      <c r="K85" s="57">
        <v>8</v>
      </c>
      <c r="L85" s="57">
        <v>1</v>
      </c>
      <c r="M85" s="57">
        <v>3</v>
      </c>
    </row>
    <row r="86" s="57" customFormat="1" spans="1:13">
      <c r="A86" s="68"/>
      <c r="B86" s="57" t="s">
        <v>751</v>
      </c>
      <c r="C86" s="57" t="b">
        <f t="shared" si="5"/>
        <v>1</v>
      </c>
      <c r="D86" s="57" t="s">
        <v>749</v>
      </c>
      <c r="E86" s="57">
        <v>0</v>
      </c>
      <c r="F86" s="57">
        <v>33</v>
      </c>
      <c r="G86" s="57">
        <v>1</v>
      </c>
      <c r="H86" s="57">
        <v>18</v>
      </c>
      <c r="I86" s="57">
        <v>1</v>
      </c>
      <c r="J86" s="57">
        <v>6</v>
      </c>
      <c r="K86" s="57">
        <v>7</v>
      </c>
      <c r="L86" s="57">
        <v>1</v>
      </c>
      <c r="M86" s="57">
        <v>4</v>
      </c>
    </row>
    <row r="87" s="1" customFormat="1" spans="1:13">
      <c r="A87" s="69" t="s">
        <v>417</v>
      </c>
      <c r="B87" s="1" t="s">
        <v>679</v>
      </c>
      <c r="C87" s="1" t="b">
        <f>FALSE()</f>
        <v>0</v>
      </c>
      <c r="D87" s="1" t="s">
        <v>677</v>
      </c>
      <c r="G87" s="1">
        <v>1</v>
      </c>
      <c r="H87" s="1">
        <v>14</v>
      </c>
      <c r="I87" s="1">
        <v>2</v>
      </c>
      <c r="J87" s="1">
        <v>0</v>
      </c>
      <c r="K87" s="1">
        <v>12</v>
      </c>
      <c r="L87" s="1">
        <v>1</v>
      </c>
    </row>
    <row r="88" s="1" customFormat="1" spans="1:13">
      <c r="A88" s="69"/>
      <c r="B88" s="1" t="s">
        <v>732</v>
      </c>
      <c r="C88" s="1" t="b">
        <f>TRUE()</f>
        <v>1</v>
      </c>
      <c r="D88" s="1" t="s">
        <v>752</v>
      </c>
      <c r="G88" s="1">
        <v>1</v>
      </c>
      <c r="H88" s="1">
        <v>13</v>
      </c>
      <c r="I88" s="1">
        <v>1</v>
      </c>
      <c r="J88" s="1">
        <v>8</v>
      </c>
      <c r="K88" s="1">
        <v>6</v>
      </c>
      <c r="L88" s="1">
        <v>1</v>
      </c>
    </row>
    <row r="89" spans="1:13">
      <c r="A89" s="70" t="s">
        <v>420</v>
      </c>
      <c r="B89" t="s">
        <v>679</v>
      </c>
      <c r="C89" t="b">
        <f>FALSE()</f>
        <v>0</v>
      </c>
      <c r="D89" t="s">
        <v>677</v>
      </c>
      <c r="G89">
        <v>1</v>
      </c>
      <c r="H89">
        <v>14</v>
      </c>
      <c r="I89">
        <v>2</v>
      </c>
      <c r="J89">
        <v>0</v>
      </c>
      <c r="K89">
        <v>12</v>
      </c>
      <c r="L89">
        <v>1</v>
      </c>
    </row>
    <row r="90" spans="1:13">
      <c r="A90" s="70"/>
      <c r="B90" t="s">
        <v>753</v>
      </c>
      <c r="C90" t="b">
        <f t="shared" ref="C90:C96" si="6">TRUE()</f>
        <v>1</v>
      </c>
      <c r="D90" t="s">
        <v>754</v>
      </c>
      <c r="E90">
        <v>66</v>
      </c>
      <c r="F90">
        <v>100</v>
      </c>
      <c r="G90">
        <v>1</v>
      </c>
      <c r="H90">
        <v>18</v>
      </c>
      <c r="I90">
        <v>1</v>
      </c>
      <c r="J90">
        <v>10</v>
      </c>
      <c r="K90">
        <v>10</v>
      </c>
      <c r="L90">
        <v>2</v>
      </c>
      <c r="M90">
        <v>2</v>
      </c>
    </row>
    <row r="91" spans="1:13">
      <c r="A91" s="70"/>
      <c r="B91" t="s">
        <v>755</v>
      </c>
      <c r="C91" t="b">
        <f t="shared" si="6"/>
        <v>1</v>
      </c>
      <c r="D91" t="s">
        <v>754</v>
      </c>
      <c r="E91">
        <v>33</v>
      </c>
      <c r="F91">
        <v>66</v>
      </c>
      <c r="G91">
        <v>1</v>
      </c>
      <c r="H91">
        <v>18</v>
      </c>
      <c r="I91">
        <v>1</v>
      </c>
      <c r="J91">
        <v>10</v>
      </c>
      <c r="K91">
        <v>9</v>
      </c>
      <c r="L91">
        <v>2</v>
      </c>
      <c r="M91">
        <v>4</v>
      </c>
    </row>
    <row r="92" spans="1:13">
      <c r="A92" s="70"/>
      <c r="B92" t="s">
        <v>756</v>
      </c>
      <c r="C92" t="b">
        <f t="shared" si="6"/>
        <v>1</v>
      </c>
      <c r="D92" t="s">
        <v>754</v>
      </c>
      <c r="E92">
        <v>0</v>
      </c>
      <c r="F92">
        <v>33</v>
      </c>
      <c r="G92">
        <v>1</v>
      </c>
      <c r="H92">
        <v>18</v>
      </c>
      <c r="I92">
        <v>1</v>
      </c>
      <c r="J92">
        <v>10</v>
      </c>
      <c r="K92">
        <v>8</v>
      </c>
      <c r="L92">
        <v>2</v>
      </c>
      <c r="M92">
        <v>6</v>
      </c>
    </row>
    <row r="93" spans="1:13">
      <c r="A93" s="70"/>
      <c r="B93" t="s">
        <v>757</v>
      </c>
      <c r="C93" t="b">
        <f t="shared" si="6"/>
        <v>1</v>
      </c>
      <c r="D93" t="s">
        <v>758</v>
      </c>
      <c r="E93">
        <v>66</v>
      </c>
      <c r="F93">
        <v>100</v>
      </c>
      <c r="G93">
        <v>1</v>
      </c>
      <c r="H93">
        <v>18</v>
      </c>
      <c r="I93">
        <v>1</v>
      </c>
      <c r="J93">
        <v>14</v>
      </c>
      <c r="K93">
        <v>10</v>
      </c>
      <c r="L93">
        <v>2</v>
      </c>
      <c r="M93">
        <v>3</v>
      </c>
    </row>
    <row r="94" spans="1:13">
      <c r="A94" s="70"/>
      <c r="B94" t="s">
        <v>759</v>
      </c>
      <c r="C94" t="b">
        <f t="shared" si="6"/>
        <v>1</v>
      </c>
      <c r="D94" t="s">
        <v>758</v>
      </c>
      <c r="E94">
        <v>33</v>
      </c>
      <c r="F94">
        <v>66</v>
      </c>
      <c r="G94">
        <v>1</v>
      </c>
      <c r="H94">
        <v>18</v>
      </c>
      <c r="I94">
        <v>1</v>
      </c>
      <c r="J94">
        <v>14</v>
      </c>
      <c r="K94">
        <v>9</v>
      </c>
      <c r="L94">
        <v>2</v>
      </c>
      <c r="M94">
        <v>4</v>
      </c>
    </row>
    <row r="95" spans="1:13">
      <c r="A95" s="70"/>
      <c r="B95" t="s">
        <v>760</v>
      </c>
      <c r="C95" t="b">
        <f t="shared" si="6"/>
        <v>1</v>
      </c>
      <c r="D95" t="s">
        <v>758</v>
      </c>
      <c r="E95">
        <v>0</v>
      </c>
      <c r="F95">
        <v>33</v>
      </c>
      <c r="G95">
        <v>1</v>
      </c>
      <c r="H95">
        <v>18</v>
      </c>
      <c r="I95">
        <v>1</v>
      </c>
      <c r="J95">
        <v>14</v>
      </c>
      <c r="K95">
        <v>8</v>
      </c>
      <c r="L95">
        <v>2</v>
      </c>
      <c r="M95">
        <v>5</v>
      </c>
    </row>
    <row r="96" s="55" customFormat="1" spans="1:13">
      <c r="A96" s="66" t="s">
        <v>423</v>
      </c>
      <c r="B96" s="55" t="s">
        <v>711</v>
      </c>
      <c r="C96" s="55" t="b">
        <f t="shared" si="6"/>
        <v>1</v>
      </c>
      <c r="D96" s="55" t="s">
        <v>731</v>
      </c>
      <c r="G96" s="55">
        <v>1</v>
      </c>
      <c r="H96" s="55">
        <v>14</v>
      </c>
      <c r="I96" s="55">
        <v>1</v>
      </c>
      <c r="J96" s="55">
        <v>0</v>
      </c>
      <c r="K96" s="55">
        <v>2</v>
      </c>
      <c r="L96" s="55">
        <v>3</v>
      </c>
    </row>
    <row r="97" s="56" customFormat="1" spans="1:13">
      <c r="A97" s="67" t="s">
        <v>426</v>
      </c>
      <c r="B97" s="56" t="s">
        <v>690</v>
      </c>
      <c r="C97" s="56" t="b">
        <f>FALSE()</f>
        <v>0</v>
      </c>
      <c r="D97" s="56" t="s">
        <v>691</v>
      </c>
      <c r="G97" s="56">
        <v>1</v>
      </c>
      <c r="H97" s="56">
        <v>18</v>
      </c>
      <c r="I97" s="56">
        <v>1</v>
      </c>
      <c r="J97" s="56">
        <v>0</v>
      </c>
      <c r="K97" s="56">
        <v>6</v>
      </c>
      <c r="L97" s="56">
        <v>1</v>
      </c>
    </row>
    <row r="98" s="56" customFormat="1" spans="1:13">
      <c r="A98" s="67"/>
      <c r="B98" s="56" t="s">
        <v>734</v>
      </c>
      <c r="C98" s="56" t="b">
        <f>TRUE()</f>
        <v>1</v>
      </c>
      <c r="D98" s="56" t="s">
        <v>735</v>
      </c>
      <c r="G98" s="56">
        <v>1</v>
      </c>
      <c r="H98" s="56">
        <v>14</v>
      </c>
      <c r="I98" s="56">
        <v>1</v>
      </c>
      <c r="J98" s="56">
        <v>11</v>
      </c>
      <c r="K98" s="56">
        <v>3</v>
      </c>
      <c r="L98" s="56">
        <v>8</v>
      </c>
      <c r="M98" s="56">
        <v>2</v>
      </c>
    </row>
  </sheetData>
  <mergeCells count="17">
    <mergeCell ref="A5:A13"/>
    <mergeCell ref="A17:A24"/>
    <mergeCell ref="A25:A26"/>
    <mergeCell ref="A27:A33"/>
    <mergeCell ref="A34:A35"/>
    <mergeCell ref="A39:A47"/>
    <mergeCell ref="A51:A52"/>
    <mergeCell ref="A53:A54"/>
    <mergeCell ref="A55:A56"/>
    <mergeCell ref="A57:A66"/>
    <mergeCell ref="A67:A68"/>
    <mergeCell ref="A69:A71"/>
    <mergeCell ref="A72:A76"/>
    <mergeCell ref="A77:A86"/>
    <mergeCell ref="A87:A88"/>
    <mergeCell ref="A89:A95"/>
    <mergeCell ref="A97:A98"/>
  </mergeCells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0"/>
  <sheetViews>
    <sheetView workbookViewId="0">
      <selection activeCell="C43" sqref="C43"/>
    </sheetView>
  </sheetViews>
  <sheetFormatPr defaultColWidth="8.71428571428571" defaultRowHeight="15" outlineLevelCol="4"/>
  <cols>
    <col min="1" max="1" width="41" customWidth="1"/>
    <col min="2" max="2" width="22.5714285714286" customWidth="1"/>
    <col min="3" max="3" width="85.7142857142857" style="23" customWidth="1"/>
    <col min="4" max="4" width="12.8571428571429" customWidth="1"/>
    <col min="5" max="5" width="8" customWidth="1"/>
    <col min="9" max="9" width="35.8571428571429" customWidth="1"/>
  </cols>
  <sheetData>
    <row r="1" spans="1:5">
      <c r="A1" s="24" t="s">
        <v>761</v>
      </c>
      <c r="B1" s="24" t="s">
        <v>762</v>
      </c>
      <c r="C1" s="25" t="s">
        <v>763</v>
      </c>
      <c r="D1" s="24" t="s">
        <v>764</v>
      </c>
      <c r="E1" s="24" t="s">
        <v>765</v>
      </c>
    </row>
    <row r="2" spans="1:5">
      <c r="A2" s="26" t="s">
        <v>269</v>
      </c>
      <c r="B2" s="26" t="s">
        <v>350</v>
      </c>
      <c r="C2" s="25" t="s">
        <v>766</v>
      </c>
      <c r="D2" s="24">
        <v>1</v>
      </c>
      <c r="E2" s="24" t="b">
        <f t="shared" ref="E2:E34" si="0">TRUE()</f>
        <v>1</v>
      </c>
    </row>
    <row r="3" spans="1:5">
      <c r="A3" s="26" t="s">
        <v>284</v>
      </c>
      <c r="B3" s="26" t="s">
        <v>350</v>
      </c>
      <c r="C3" s="25" t="s">
        <v>767</v>
      </c>
      <c r="D3" s="24">
        <v>1</v>
      </c>
      <c r="E3" s="24" t="b">
        <f t="shared" si="0"/>
        <v>1</v>
      </c>
    </row>
    <row r="4" spans="1:5">
      <c r="A4" s="27" t="s">
        <v>298</v>
      </c>
      <c r="B4" s="27" t="s">
        <v>294</v>
      </c>
      <c r="C4" s="25" t="s">
        <v>768</v>
      </c>
      <c r="D4" s="24">
        <v>1</v>
      </c>
      <c r="E4" s="24" t="b">
        <f t="shared" si="0"/>
        <v>1</v>
      </c>
    </row>
    <row r="5" spans="1:5">
      <c r="A5" s="27" t="s">
        <v>312</v>
      </c>
      <c r="B5" s="27" t="s">
        <v>294</v>
      </c>
      <c r="C5" s="25" t="s">
        <v>769</v>
      </c>
      <c r="D5" s="24">
        <v>1</v>
      </c>
      <c r="E5" s="24" t="b">
        <f t="shared" si="0"/>
        <v>1</v>
      </c>
    </row>
    <row r="6" s="21" customFormat="1" spans="1:5">
      <c r="A6" s="28" t="s">
        <v>324</v>
      </c>
      <c r="B6" s="28" t="s">
        <v>294</v>
      </c>
      <c r="C6" s="29" t="s">
        <v>770</v>
      </c>
      <c r="D6" s="30">
        <v>1</v>
      </c>
      <c r="E6" s="30" t="b">
        <f t="shared" si="0"/>
        <v>1</v>
      </c>
    </row>
    <row r="7" s="21" customFormat="1" spans="1:5">
      <c r="A7" s="28" t="s">
        <v>335</v>
      </c>
      <c r="B7" s="28" t="s">
        <v>294</v>
      </c>
      <c r="C7" s="29" t="s">
        <v>771</v>
      </c>
      <c r="D7" s="30">
        <v>1</v>
      </c>
      <c r="E7" s="30" t="b">
        <f t="shared" si="0"/>
        <v>1</v>
      </c>
    </row>
    <row r="8" s="21" customFormat="1" spans="1:5">
      <c r="A8" s="31" t="s">
        <v>344</v>
      </c>
      <c r="B8" s="31" t="s">
        <v>350</v>
      </c>
      <c r="C8" s="29" t="s">
        <v>772</v>
      </c>
      <c r="D8" s="30">
        <v>1</v>
      </c>
      <c r="E8" s="30" t="b">
        <f t="shared" si="0"/>
        <v>1</v>
      </c>
    </row>
    <row r="9" s="21" customFormat="1" spans="1:5">
      <c r="A9" s="31" t="s">
        <v>353</v>
      </c>
      <c r="B9" s="31" t="s">
        <v>350</v>
      </c>
      <c r="C9" s="29" t="s">
        <v>773</v>
      </c>
      <c r="D9" s="30">
        <v>1</v>
      </c>
      <c r="E9" s="30" t="b">
        <f t="shared" si="0"/>
        <v>1</v>
      </c>
    </row>
    <row r="10" spans="1:5">
      <c r="A10" s="32" t="s">
        <v>358</v>
      </c>
      <c r="B10" s="32" t="s">
        <v>320</v>
      </c>
      <c r="C10" s="25" t="s">
        <v>774</v>
      </c>
      <c r="D10" s="24">
        <v>1</v>
      </c>
      <c r="E10" s="24" t="b">
        <f t="shared" si="0"/>
        <v>1</v>
      </c>
    </row>
    <row r="11" spans="1:5">
      <c r="A11" s="32" t="s">
        <v>363</v>
      </c>
      <c r="B11" s="32" t="s">
        <v>320</v>
      </c>
      <c r="C11" s="25" t="s">
        <v>775</v>
      </c>
      <c r="D11" s="24">
        <v>1</v>
      </c>
      <c r="E11" s="24" t="b">
        <f t="shared" si="0"/>
        <v>1</v>
      </c>
    </row>
    <row r="12" spans="1:5">
      <c r="A12" s="27" t="s">
        <v>368</v>
      </c>
      <c r="B12" s="27" t="s">
        <v>294</v>
      </c>
      <c r="C12" s="25" t="s">
        <v>776</v>
      </c>
      <c r="D12" s="24">
        <v>1</v>
      </c>
      <c r="E12" s="24" t="b">
        <f t="shared" si="0"/>
        <v>1</v>
      </c>
    </row>
    <row r="13" spans="1:5">
      <c r="A13" s="27" t="s">
        <v>371</v>
      </c>
      <c r="B13" s="27" t="s">
        <v>294</v>
      </c>
      <c r="C13" s="25" t="s">
        <v>777</v>
      </c>
      <c r="D13" s="24">
        <v>1</v>
      </c>
      <c r="E13" s="24" t="b">
        <f t="shared" si="0"/>
        <v>1</v>
      </c>
    </row>
    <row r="14" spans="1:5">
      <c r="A14" s="26" t="s">
        <v>374</v>
      </c>
      <c r="B14" s="26" t="s">
        <v>350</v>
      </c>
      <c r="C14" s="25" t="s">
        <v>778</v>
      </c>
      <c r="D14" s="24">
        <v>1</v>
      </c>
      <c r="E14" s="24" t="b">
        <f t="shared" si="0"/>
        <v>1</v>
      </c>
    </row>
    <row r="15" spans="1:5">
      <c r="A15" s="26" t="s">
        <v>377</v>
      </c>
      <c r="B15" s="26" t="s">
        <v>350</v>
      </c>
      <c r="C15" s="25" t="s">
        <v>779</v>
      </c>
      <c r="D15" s="24">
        <v>1</v>
      </c>
      <c r="E15" s="24" t="b">
        <f t="shared" si="0"/>
        <v>1</v>
      </c>
    </row>
    <row r="16" spans="1:5">
      <c r="A16" s="32" t="s">
        <v>380</v>
      </c>
      <c r="B16" s="32" t="s">
        <v>320</v>
      </c>
      <c r="C16" s="25" t="s">
        <v>780</v>
      </c>
      <c r="D16" s="24">
        <v>1</v>
      </c>
      <c r="E16" s="24" t="b">
        <f t="shared" si="0"/>
        <v>1</v>
      </c>
    </row>
    <row r="17" spans="1:5">
      <c r="A17" s="32" t="s">
        <v>383</v>
      </c>
      <c r="B17" s="32" t="s">
        <v>320</v>
      </c>
      <c r="C17" s="25" t="s">
        <v>781</v>
      </c>
      <c r="D17" s="24">
        <v>1</v>
      </c>
      <c r="E17" s="24" t="b">
        <f t="shared" si="0"/>
        <v>1</v>
      </c>
    </row>
    <row r="18" s="21" customFormat="1" spans="1:5">
      <c r="A18" s="33" t="s">
        <v>386</v>
      </c>
      <c r="B18" s="33" t="s">
        <v>340</v>
      </c>
      <c r="C18" s="29" t="s">
        <v>782</v>
      </c>
      <c r="D18" s="30">
        <v>-1</v>
      </c>
      <c r="E18" s="30" t="b">
        <f t="shared" si="0"/>
        <v>1</v>
      </c>
    </row>
    <row r="19" s="21" customFormat="1" spans="1:5">
      <c r="A19" s="33" t="s">
        <v>389</v>
      </c>
      <c r="B19" s="33" t="s">
        <v>340</v>
      </c>
      <c r="C19" s="29" t="s">
        <v>783</v>
      </c>
      <c r="D19" s="30">
        <v>-1</v>
      </c>
      <c r="E19" s="30" t="b">
        <f t="shared" si="0"/>
        <v>1</v>
      </c>
    </row>
    <row r="20" s="21" customFormat="1" spans="1:5">
      <c r="A20" s="33" t="s">
        <v>392</v>
      </c>
      <c r="B20" s="33" t="s">
        <v>340</v>
      </c>
      <c r="C20" s="29" t="s">
        <v>784</v>
      </c>
      <c r="D20" s="30">
        <v>1</v>
      </c>
      <c r="E20" s="30" t="b">
        <f t="shared" si="0"/>
        <v>1</v>
      </c>
    </row>
    <row r="21" s="21" customFormat="1" spans="1:5">
      <c r="A21" s="33" t="s">
        <v>395</v>
      </c>
      <c r="B21" s="33" t="s">
        <v>340</v>
      </c>
      <c r="C21" s="29" t="s">
        <v>785</v>
      </c>
      <c r="D21" s="30">
        <v>1</v>
      </c>
      <c r="E21" s="30" t="b">
        <f t="shared" si="0"/>
        <v>1</v>
      </c>
    </row>
    <row r="22" s="21" customFormat="1" spans="1:5">
      <c r="A22" s="34" t="s">
        <v>398</v>
      </c>
      <c r="B22" s="34" t="s">
        <v>340</v>
      </c>
      <c r="C22" s="29" t="s">
        <v>786</v>
      </c>
      <c r="D22" s="30">
        <v>1</v>
      </c>
      <c r="E22" s="30" t="b">
        <f t="shared" si="0"/>
        <v>1</v>
      </c>
    </row>
    <row r="23" s="21" customFormat="1" spans="1:5">
      <c r="A23" s="33" t="s">
        <v>401</v>
      </c>
      <c r="B23" s="33" t="s">
        <v>340</v>
      </c>
      <c r="C23" s="29" t="s">
        <v>787</v>
      </c>
      <c r="D23" s="30">
        <v>1</v>
      </c>
      <c r="E23" s="30" t="b">
        <f t="shared" si="0"/>
        <v>1</v>
      </c>
    </row>
    <row r="24" spans="1:5">
      <c r="A24" s="32" t="s">
        <v>404</v>
      </c>
      <c r="B24" s="32" t="s">
        <v>320</v>
      </c>
      <c r="C24" s="25" t="s">
        <v>788</v>
      </c>
      <c r="D24" s="24">
        <v>1</v>
      </c>
      <c r="E24" s="24" t="b">
        <f t="shared" si="0"/>
        <v>1</v>
      </c>
    </row>
    <row r="25" spans="1:5">
      <c r="A25" s="32" t="s">
        <v>407</v>
      </c>
      <c r="B25" s="32" t="s">
        <v>320</v>
      </c>
      <c r="C25" s="25" t="s">
        <v>789</v>
      </c>
      <c r="D25" s="24">
        <v>1</v>
      </c>
      <c r="E25" s="24" t="b">
        <f t="shared" si="0"/>
        <v>1</v>
      </c>
    </row>
    <row r="26" spans="1:5">
      <c r="A26" s="35" t="s">
        <v>410</v>
      </c>
      <c r="B26" s="35" t="s">
        <v>331</v>
      </c>
      <c r="C26" s="25" t="s">
        <v>790</v>
      </c>
      <c r="D26" s="24">
        <v>1</v>
      </c>
      <c r="E26" s="24" t="b">
        <f t="shared" si="0"/>
        <v>1</v>
      </c>
    </row>
    <row r="27" spans="1:5">
      <c r="A27" s="27" t="s">
        <v>413</v>
      </c>
      <c r="B27" s="27" t="s">
        <v>294</v>
      </c>
      <c r="C27" s="25" t="s">
        <v>791</v>
      </c>
      <c r="D27" s="24">
        <v>1</v>
      </c>
      <c r="E27" s="24" t="b">
        <f t="shared" si="0"/>
        <v>1</v>
      </c>
    </row>
    <row r="28" spans="1:5">
      <c r="A28" s="27" t="s">
        <v>416</v>
      </c>
      <c r="B28" s="27" t="s">
        <v>294</v>
      </c>
      <c r="C28" s="25" t="s">
        <v>792</v>
      </c>
      <c r="D28" s="24">
        <v>1</v>
      </c>
      <c r="E28" s="24" t="b">
        <f t="shared" si="0"/>
        <v>1</v>
      </c>
    </row>
    <row r="29" s="22" customFormat="1" spans="1:5">
      <c r="A29" s="36" t="s">
        <v>419</v>
      </c>
      <c r="B29" s="37" t="s">
        <v>350</v>
      </c>
      <c r="C29" s="38" t="s">
        <v>793</v>
      </c>
      <c r="D29" s="38">
        <v>1</v>
      </c>
      <c r="E29" s="38" t="b">
        <f t="shared" si="0"/>
        <v>1</v>
      </c>
    </row>
    <row r="30" spans="1:5">
      <c r="A30" s="37" t="s">
        <v>422</v>
      </c>
      <c r="B30" s="37" t="s">
        <v>350</v>
      </c>
      <c r="C30" s="25" t="s">
        <v>794</v>
      </c>
      <c r="D30" s="24">
        <v>1</v>
      </c>
      <c r="E30" s="24" t="b">
        <f t="shared" si="0"/>
        <v>1</v>
      </c>
    </row>
    <row r="31" spans="1:5">
      <c r="A31" s="32" t="s">
        <v>425</v>
      </c>
      <c r="B31" s="32" t="s">
        <v>320</v>
      </c>
      <c r="C31" s="25" t="s">
        <v>795</v>
      </c>
      <c r="D31" s="24">
        <v>1</v>
      </c>
      <c r="E31" s="24" t="b">
        <f t="shared" si="0"/>
        <v>1</v>
      </c>
    </row>
    <row r="32" spans="1:5">
      <c r="A32" s="32" t="s">
        <v>428</v>
      </c>
      <c r="B32" s="32" t="s">
        <v>320</v>
      </c>
      <c r="C32" s="25" t="s">
        <v>796</v>
      </c>
      <c r="D32" s="24">
        <v>1</v>
      </c>
      <c r="E32" s="24" t="b">
        <f t="shared" si="0"/>
        <v>1</v>
      </c>
    </row>
    <row r="33" spans="1:5">
      <c r="A33" s="37" t="s">
        <v>430</v>
      </c>
      <c r="B33" s="37" t="s">
        <v>350</v>
      </c>
      <c r="C33" s="25" t="s">
        <v>797</v>
      </c>
      <c r="D33" s="24">
        <v>1</v>
      </c>
      <c r="E33" s="24" t="b">
        <f t="shared" si="0"/>
        <v>1</v>
      </c>
    </row>
    <row r="34" s="21" customFormat="1" spans="1:5">
      <c r="A34" s="33" t="s">
        <v>432</v>
      </c>
      <c r="B34" s="33" t="s">
        <v>340</v>
      </c>
      <c r="C34" s="29" t="s">
        <v>798</v>
      </c>
      <c r="D34" s="30">
        <v>1</v>
      </c>
      <c r="E34" s="30" t="b">
        <f t="shared" si="0"/>
        <v>1</v>
      </c>
    </row>
    <row r="35" spans="1:5">
      <c r="A35" s="24" t="s">
        <v>434</v>
      </c>
      <c r="B35" s="24"/>
      <c r="C35" s="25" t="s">
        <v>799</v>
      </c>
      <c r="D35" s="24">
        <v>1</v>
      </c>
      <c r="E35" s="24" t="b">
        <f>FALSE()</f>
        <v>0</v>
      </c>
    </row>
    <row r="36" spans="1:5">
      <c r="A36" s="37" t="s">
        <v>436</v>
      </c>
      <c r="B36" s="37" t="s">
        <v>350</v>
      </c>
      <c r="C36" s="39" t="s">
        <v>800</v>
      </c>
      <c r="D36" s="24">
        <v>1</v>
      </c>
      <c r="E36" s="24" t="b">
        <f>TRUE()</f>
        <v>1</v>
      </c>
    </row>
    <row r="37" spans="1:5">
      <c r="A37" s="24" t="s">
        <v>438</v>
      </c>
      <c r="B37" s="24"/>
      <c r="C37" s="25" t="s">
        <v>801</v>
      </c>
      <c r="D37" s="24">
        <v>1</v>
      </c>
      <c r="E37" s="24" t="b">
        <f>FALSE()</f>
        <v>0</v>
      </c>
    </row>
    <row r="38" spans="1:5">
      <c r="A38" s="40" t="s">
        <v>440</v>
      </c>
      <c r="B38" s="40" t="s">
        <v>308</v>
      </c>
      <c r="C38" s="25" t="s">
        <v>802</v>
      </c>
      <c r="D38" s="24">
        <v>1</v>
      </c>
      <c r="E38" s="24" t="b">
        <f>TRUE()</f>
        <v>1</v>
      </c>
    </row>
    <row r="39" spans="1:5">
      <c r="A39" s="40" t="s">
        <v>442</v>
      </c>
      <c r="B39" s="40" t="s">
        <v>308</v>
      </c>
      <c r="C39" s="25" t="s">
        <v>803</v>
      </c>
      <c r="D39" s="24">
        <v>1</v>
      </c>
      <c r="E39" s="24" t="b">
        <f>FALSE()</f>
        <v>0</v>
      </c>
    </row>
    <row r="40" spans="1:5">
      <c r="A40" s="24" t="s">
        <v>444</v>
      </c>
      <c r="B40" s="24"/>
      <c r="C40" s="38" t="s">
        <v>804</v>
      </c>
      <c r="D40" s="24">
        <v>1</v>
      </c>
      <c r="E40" s="24" t="b">
        <f>TRUE()</f>
        <v>1</v>
      </c>
    </row>
    <row r="41" spans="1:5">
      <c r="A41" s="37" t="s">
        <v>446</v>
      </c>
      <c r="B41" s="37" t="s">
        <v>350</v>
      </c>
      <c r="C41" s="25" t="s">
        <v>805</v>
      </c>
      <c r="D41" s="24">
        <v>-1</v>
      </c>
      <c r="E41" s="24" t="b">
        <f>TRUE()</f>
        <v>1</v>
      </c>
    </row>
    <row r="42" spans="1:5">
      <c r="A42" s="24" t="s">
        <v>448</v>
      </c>
      <c r="B42" s="24"/>
      <c r="C42" s="25" t="s">
        <v>806</v>
      </c>
      <c r="D42" s="24">
        <v>1</v>
      </c>
      <c r="E42" s="24" t="b">
        <f>TRUE()</f>
        <v>1</v>
      </c>
    </row>
    <row r="43" spans="1:5">
      <c r="A43" s="24" t="s">
        <v>450</v>
      </c>
      <c r="B43" s="24"/>
      <c r="C43" s="25" t="s">
        <v>807</v>
      </c>
      <c r="D43" s="24">
        <v>1</v>
      </c>
      <c r="E43" s="24" t="b">
        <f>FALSE()</f>
        <v>0</v>
      </c>
    </row>
    <row r="44" spans="1:5">
      <c r="A44" s="35" t="s">
        <v>452</v>
      </c>
      <c r="B44" s="35" t="s">
        <v>331</v>
      </c>
      <c r="C44" s="25" t="s">
        <v>808</v>
      </c>
      <c r="D44" s="24">
        <v>1</v>
      </c>
      <c r="E44" s="24" t="b">
        <f>TRUE()</f>
        <v>1</v>
      </c>
    </row>
    <row r="45" spans="1:5">
      <c r="A45" s="24" t="s">
        <v>454</v>
      </c>
      <c r="B45" s="24"/>
      <c r="C45" s="38" t="s">
        <v>809</v>
      </c>
      <c r="D45" s="24">
        <v>1</v>
      </c>
      <c r="E45" s="24" t="b">
        <f>FALSE()</f>
        <v>0</v>
      </c>
    </row>
    <row r="46" spans="1:5">
      <c r="A46" s="35" t="s">
        <v>456</v>
      </c>
      <c r="B46" s="35" t="s">
        <v>331</v>
      </c>
      <c r="C46" s="25" t="s">
        <v>810</v>
      </c>
      <c r="D46" s="24">
        <v>1</v>
      </c>
      <c r="E46" s="24" t="b">
        <f>TRUE()</f>
        <v>1</v>
      </c>
    </row>
    <row r="47" spans="1:5">
      <c r="A47" s="37" t="s">
        <v>458</v>
      </c>
      <c r="B47" s="37" t="s">
        <v>350</v>
      </c>
      <c r="C47" s="25" t="s">
        <v>811</v>
      </c>
      <c r="D47" s="24">
        <v>1</v>
      </c>
      <c r="E47" s="24" t="b">
        <f>FALSE()</f>
        <v>0</v>
      </c>
    </row>
    <row r="48" spans="1:5">
      <c r="A48" s="24" t="s">
        <v>460</v>
      </c>
      <c r="B48" s="24"/>
      <c r="C48" s="41" t="s">
        <v>812</v>
      </c>
      <c r="D48" s="24">
        <v>1</v>
      </c>
      <c r="E48" s="24" t="b">
        <f>FALSE()</f>
        <v>0</v>
      </c>
    </row>
    <row r="49" spans="1:5">
      <c r="A49" s="27" t="s">
        <v>462</v>
      </c>
      <c r="B49" s="27" t="s">
        <v>294</v>
      </c>
      <c r="C49" s="38" t="s">
        <v>813</v>
      </c>
      <c r="D49" s="24">
        <v>1</v>
      </c>
      <c r="E49" s="24" t="b">
        <f>TRUE()</f>
        <v>1</v>
      </c>
    </row>
    <row r="50" spans="1:5">
      <c r="A50" s="27" t="s">
        <v>464</v>
      </c>
      <c r="B50" s="27" t="s">
        <v>294</v>
      </c>
      <c r="C50" s="25" t="s">
        <v>814</v>
      </c>
      <c r="D50" s="24">
        <v>1</v>
      </c>
      <c r="E50" s="24" t="b">
        <f>TRUE()</f>
        <v>1</v>
      </c>
    </row>
    <row r="51" spans="1:5">
      <c r="A51" s="40" t="s">
        <v>466</v>
      </c>
      <c r="B51" s="40" t="s">
        <v>308</v>
      </c>
      <c r="C51" s="25" t="s">
        <v>815</v>
      </c>
      <c r="D51" s="24">
        <v>1</v>
      </c>
      <c r="E51" s="24" t="b">
        <f>FALSE()</f>
        <v>0</v>
      </c>
    </row>
    <row r="52" spans="1:5">
      <c r="A52" s="35" t="s">
        <v>468</v>
      </c>
      <c r="B52" s="35" t="s">
        <v>331</v>
      </c>
      <c r="C52" s="25" t="s">
        <v>816</v>
      </c>
      <c r="D52" s="24">
        <v>1</v>
      </c>
      <c r="E52" s="24" t="b">
        <f>TRUE()</f>
        <v>1</v>
      </c>
    </row>
    <row r="53" spans="1:5">
      <c r="A53" s="35" t="s">
        <v>470</v>
      </c>
      <c r="B53" s="35" t="s">
        <v>331</v>
      </c>
      <c r="C53" s="38" t="s">
        <v>817</v>
      </c>
      <c r="D53" s="24">
        <v>1</v>
      </c>
      <c r="E53" s="24" t="b">
        <f>TRUE()</f>
        <v>1</v>
      </c>
    </row>
    <row r="54" spans="1:5">
      <c r="A54" s="24" t="s">
        <v>472</v>
      </c>
      <c r="B54" s="24"/>
      <c r="C54" s="25" t="s">
        <v>818</v>
      </c>
      <c r="D54" s="24">
        <v>1</v>
      </c>
      <c r="E54" s="24" t="b">
        <f>TRUE()</f>
        <v>1</v>
      </c>
    </row>
    <row r="55" s="21" customFormat="1" spans="1:5">
      <c r="A55" s="33" t="s">
        <v>474</v>
      </c>
      <c r="B55" s="33" t="s">
        <v>340</v>
      </c>
      <c r="C55" s="29" t="s">
        <v>819</v>
      </c>
      <c r="D55" s="30">
        <v>1</v>
      </c>
      <c r="E55" s="30" t="b">
        <f>TRUE()</f>
        <v>1</v>
      </c>
    </row>
    <row r="56" spans="1:5">
      <c r="A56" s="40" t="s">
        <v>476</v>
      </c>
      <c r="B56" s="40" t="s">
        <v>308</v>
      </c>
      <c r="C56" s="38" t="s">
        <v>820</v>
      </c>
      <c r="D56" s="24">
        <v>1</v>
      </c>
      <c r="E56" s="24" t="b">
        <f>FALSE()</f>
        <v>0</v>
      </c>
    </row>
    <row r="57" spans="1:5">
      <c r="A57" s="24" t="s">
        <v>478</v>
      </c>
      <c r="B57" s="24"/>
      <c r="C57" s="25" t="s">
        <v>821</v>
      </c>
      <c r="D57" s="24">
        <v>1</v>
      </c>
      <c r="E57" s="24" t="b">
        <f>TRUE()</f>
        <v>1</v>
      </c>
    </row>
    <row r="58" spans="1:5">
      <c r="A58" s="24" t="s">
        <v>480</v>
      </c>
      <c r="B58" s="24"/>
      <c r="C58" s="25" t="s">
        <v>822</v>
      </c>
      <c r="D58" s="24">
        <v>1</v>
      </c>
      <c r="E58" s="24" t="b">
        <f>FALSE()</f>
        <v>0</v>
      </c>
    </row>
    <row r="59" s="21" customFormat="1" spans="1:5">
      <c r="A59" s="33" t="s">
        <v>482</v>
      </c>
      <c r="B59" s="33" t="s">
        <v>340</v>
      </c>
      <c r="C59" s="42" t="s">
        <v>823</v>
      </c>
      <c r="D59" s="30">
        <v>1</v>
      </c>
      <c r="E59" s="30" t="b">
        <f>FALSE()</f>
        <v>0</v>
      </c>
    </row>
    <row r="60" s="21" customFormat="1" spans="1:5">
      <c r="A60" s="33" t="s">
        <v>484</v>
      </c>
      <c r="B60" s="33" t="s">
        <v>340</v>
      </c>
      <c r="C60" s="42" t="s">
        <v>824</v>
      </c>
      <c r="D60" s="30">
        <v>1</v>
      </c>
      <c r="E60" s="30" t="b">
        <f>FALSE()</f>
        <v>0</v>
      </c>
    </row>
    <row r="61" s="21" customFormat="1" spans="1:5">
      <c r="A61" s="33" t="s">
        <v>486</v>
      </c>
      <c r="B61" s="33" t="s">
        <v>340</v>
      </c>
      <c r="C61" s="29" t="s">
        <v>825</v>
      </c>
      <c r="D61" s="30">
        <v>1</v>
      </c>
      <c r="E61" s="30" t="b">
        <f>FALSE()</f>
        <v>0</v>
      </c>
    </row>
    <row r="62" spans="1:5">
      <c r="A62" s="26" t="s">
        <v>488</v>
      </c>
      <c r="B62" s="26" t="s">
        <v>350</v>
      </c>
      <c r="C62" s="25" t="s">
        <v>826</v>
      </c>
      <c r="D62" s="24">
        <v>1</v>
      </c>
      <c r="E62" s="24" t="b">
        <f>FALSE()</f>
        <v>0</v>
      </c>
    </row>
    <row r="63" spans="1:5">
      <c r="A63" s="24" t="s">
        <v>490</v>
      </c>
      <c r="B63" s="24"/>
      <c r="C63" s="25" t="s">
        <v>827</v>
      </c>
      <c r="D63" s="24">
        <v>1</v>
      </c>
      <c r="E63" s="24" t="b">
        <f t="shared" ref="E63:E78" si="1">TRUE()</f>
        <v>1</v>
      </c>
    </row>
    <row r="64" spans="1:5">
      <c r="A64" s="24" t="s">
        <v>492</v>
      </c>
      <c r="B64" s="24"/>
      <c r="C64" s="43" t="s">
        <v>828</v>
      </c>
      <c r="D64" s="24">
        <v>1</v>
      </c>
      <c r="E64" s="24" t="b">
        <f t="shared" si="1"/>
        <v>1</v>
      </c>
    </row>
    <row r="65" spans="1:5">
      <c r="A65" s="24" t="s">
        <v>494</v>
      </c>
      <c r="B65" s="24"/>
      <c r="C65" s="43" t="s">
        <v>829</v>
      </c>
      <c r="D65" s="24">
        <v>1</v>
      </c>
      <c r="E65" s="24" t="b">
        <f t="shared" si="1"/>
        <v>1</v>
      </c>
    </row>
    <row r="66" spans="1:5">
      <c r="A66" s="27" t="s">
        <v>498</v>
      </c>
      <c r="B66" s="27" t="s">
        <v>294</v>
      </c>
      <c r="C66" s="25" t="s">
        <v>830</v>
      </c>
      <c r="D66" s="24">
        <v>1</v>
      </c>
      <c r="E66" s="24" t="b">
        <f t="shared" si="1"/>
        <v>1</v>
      </c>
    </row>
    <row r="67" spans="1:5">
      <c r="A67" s="27" t="s">
        <v>500</v>
      </c>
      <c r="B67" s="27" t="s">
        <v>294</v>
      </c>
      <c r="C67" s="25" t="s">
        <v>831</v>
      </c>
      <c r="D67" s="24">
        <v>1</v>
      </c>
      <c r="E67" s="24" t="b">
        <f t="shared" si="1"/>
        <v>1</v>
      </c>
    </row>
    <row r="68" spans="1:5">
      <c r="A68" s="27" t="s">
        <v>496</v>
      </c>
      <c r="B68" s="27" t="s">
        <v>294</v>
      </c>
      <c r="C68" s="25" t="s">
        <v>832</v>
      </c>
      <c r="D68" s="24">
        <v>1</v>
      </c>
      <c r="E68" s="24" t="b">
        <f t="shared" si="1"/>
        <v>1</v>
      </c>
    </row>
    <row r="69" spans="1:5">
      <c r="A69" s="27" t="s">
        <v>502</v>
      </c>
      <c r="B69" s="27" t="s">
        <v>294</v>
      </c>
      <c r="C69" s="25" t="s">
        <v>833</v>
      </c>
      <c r="D69" s="24">
        <v>1</v>
      </c>
      <c r="E69" s="24" t="b">
        <f t="shared" si="1"/>
        <v>1</v>
      </c>
    </row>
    <row r="70" spans="1:5">
      <c r="A70" s="26" t="s">
        <v>506</v>
      </c>
      <c r="B70" s="26" t="s">
        <v>350</v>
      </c>
      <c r="C70" s="25" t="s">
        <v>834</v>
      </c>
      <c r="D70" s="24">
        <v>1</v>
      </c>
      <c r="E70" s="24" t="b">
        <f t="shared" si="1"/>
        <v>1</v>
      </c>
    </row>
    <row r="71" spans="1:5">
      <c r="A71" s="26" t="s">
        <v>508</v>
      </c>
      <c r="B71" s="26" t="s">
        <v>350</v>
      </c>
      <c r="C71" s="25" t="s">
        <v>835</v>
      </c>
      <c r="D71" s="24">
        <v>1</v>
      </c>
      <c r="E71" s="24" t="b">
        <f t="shared" si="1"/>
        <v>1</v>
      </c>
    </row>
    <row r="72" spans="1:5">
      <c r="A72" s="26" t="s">
        <v>504</v>
      </c>
      <c r="B72" s="26" t="s">
        <v>350</v>
      </c>
      <c r="C72" s="25" t="s">
        <v>836</v>
      </c>
      <c r="D72" s="24">
        <v>1</v>
      </c>
      <c r="E72" s="24" t="b">
        <f t="shared" si="1"/>
        <v>1</v>
      </c>
    </row>
    <row r="73" spans="1:5">
      <c r="A73" s="26" t="s">
        <v>510</v>
      </c>
      <c r="B73" s="26" t="s">
        <v>350</v>
      </c>
      <c r="C73" s="25" t="s">
        <v>837</v>
      </c>
      <c r="D73" s="24">
        <v>1</v>
      </c>
      <c r="E73" s="24" t="b">
        <f t="shared" si="1"/>
        <v>1</v>
      </c>
    </row>
    <row r="74" spans="1:5">
      <c r="A74" s="27" t="s">
        <v>512</v>
      </c>
      <c r="B74" s="27" t="s">
        <v>294</v>
      </c>
      <c r="C74" s="38" t="s">
        <v>838</v>
      </c>
      <c r="D74" s="24">
        <v>1</v>
      </c>
      <c r="E74" s="24" t="b">
        <f t="shared" si="1"/>
        <v>1</v>
      </c>
    </row>
    <row r="75" spans="1:5">
      <c r="A75" s="26" t="s">
        <v>514</v>
      </c>
      <c r="B75" s="26" t="s">
        <v>350</v>
      </c>
      <c r="C75" s="25" t="s">
        <v>839</v>
      </c>
      <c r="D75" s="24">
        <v>-1</v>
      </c>
      <c r="E75" s="24" t="b">
        <f t="shared" si="1"/>
        <v>1</v>
      </c>
    </row>
    <row r="76" spans="1:5">
      <c r="A76" s="34" t="s">
        <v>516</v>
      </c>
      <c r="B76" s="34" t="s">
        <v>340</v>
      </c>
      <c r="C76" s="25" t="s">
        <v>840</v>
      </c>
      <c r="D76" s="24">
        <v>1</v>
      </c>
      <c r="E76" s="24" t="b">
        <f t="shared" si="1"/>
        <v>1</v>
      </c>
    </row>
    <row r="77" spans="1:5">
      <c r="A77" s="34" t="s">
        <v>518</v>
      </c>
      <c r="B77" s="34" t="s">
        <v>340</v>
      </c>
      <c r="C77" s="25" t="s">
        <v>841</v>
      </c>
      <c r="D77" s="24">
        <v>1</v>
      </c>
      <c r="E77" s="24" t="b">
        <f t="shared" si="1"/>
        <v>1</v>
      </c>
    </row>
    <row r="78" spans="1:5">
      <c r="A78" s="34" t="s">
        <v>520</v>
      </c>
      <c r="B78" s="34" t="s">
        <v>340</v>
      </c>
      <c r="C78" s="25" t="s">
        <v>842</v>
      </c>
      <c r="D78" s="24">
        <v>1</v>
      </c>
      <c r="E78" s="24" t="b">
        <f t="shared" si="1"/>
        <v>1</v>
      </c>
    </row>
    <row r="79" spans="1:5">
      <c r="A79" s="34" t="s">
        <v>521</v>
      </c>
      <c r="B79" s="34" t="s">
        <v>340</v>
      </c>
      <c r="C79" s="25" t="s">
        <v>843</v>
      </c>
      <c r="D79" s="24">
        <v>1</v>
      </c>
      <c r="E79" s="24" t="b">
        <f>FALSE()</f>
        <v>0</v>
      </c>
    </row>
    <row r="80" spans="1:5">
      <c r="A80" s="24" t="s">
        <v>523</v>
      </c>
      <c r="B80" s="24"/>
      <c r="C80" s="39" t="s">
        <v>844</v>
      </c>
      <c r="D80" s="24">
        <v>1</v>
      </c>
      <c r="E80" s="24" t="b">
        <v>1</v>
      </c>
    </row>
    <row r="81" spans="1:5">
      <c r="A81" s="44" t="s">
        <v>526</v>
      </c>
      <c r="B81" s="24"/>
      <c r="C81" s="24" t="s">
        <v>845</v>
      </c>
      <c r="D81" s="24">
        <v>1</v>
      </c>
      <c r="E81" s="24" t="b">
        <v>0</v>
      </c>
    </row>
    <row r="82" spans="1:5">
      <c r="A82" s="44" t="s">
        <v>527</v>
      </c>
      <c r="B82" s="24"/>
      <c r="C82" s="24" t="s">
        <v>846</v>
      </c>
      <c r="D82" s="24">
        <v>1</v>
      </c>
      <c r="E82" s="24" t="b">
        <v>0</v>
      </c>
    </row>
    <row r="83" spans="1:5">
      <c r="A83" s="44" t="s">
        <v>528</v>
      </c>
      <c r="B83" s="24"/>
      <c r="C83" s="24" t="s">
        <v>847</v>
      </c>
      <c r="D83" s="24">
        <v>1</v>
      </c>
      <c r="E83" s="24" t="b">
        <v>0</v>
      </c>
    </row>
    <row r="84" spans="1:5">
      <c r="A84" s="44" t="s">
        <v>529</v>
      </c>
      <c r="B84" s="24"/>
      <c r="C84" s="24" t="s">
        <v>848</v>
      </c>
      <c r="D84" s="24">
        <v>1</v>
      </c>
      <c r="E84" s="24" t="b">
        <v>0</v>
      </c>
    </row>
    <row r="85" spans="1:5">
      <c r="A85" s="44" t="s">
        <v>530</v>
      </c>
      <c r="B85" s="24"/>
      <c r="C85" s="24" t="s">
        <v>849</v>
      </c>
      <c r="D85" s="24">
        <v>1</v>
      </c>
      <c r="E85" s="24" t="b">
        <v>0</v>
      </c>
    </row>
    <row r="86" spans="1:5">
      <c r="A86" s="44" t="s">
        <v>531</v>
      </c>
      <c r="B86" s="24"/>
      <c r="C86" s="24" t="s">
        <v>850</v>
      </c>
      <c r="D86" s="24">
        <v>1</v>
      </c>
      <c r="E86" s="24" t="b">
        <v>0</v>
      </c>
    </row>
    <row r="87" spans="1:5">
      <c r="A87" s="44" t="s">
        <v>532</v>
      </c>
      <c r="B87" s="24"/>
      <c r="C87" s="24" t="s">
        <v>851</v>
      </c>
      <c r="D87" s="24">
        <v>1</v>
      </c>
      <c r="E87" s="24" t="b">
        <v>0</v>
      </c>
    </row>
    <row r="88" spans="1:5">
      <c r="A88" s="44" t="s">
        <v>533</v>
      </c>
      <c r="B88" s="35" t="s">
        <v>331</v>
      </c>
      <c r="C88" s="24" t="s">
        <v>852</v>
      </c>
      <c r="D88" s="24">
        <v>1</v>
      </c>
      <c r="E88" s="24" t="b">
        <v>0</v>
      </c>
    </row>
    <row r="89" spans="1:5">
      <c r="A89" s="45" t="s">
        <v>534</v>
      </c>
      <c r="B89" s="24"/>
      <c r="C89" s="25" t="s">
        <v>853</v>
      </c>
      <c r="D89" s="24">
        <v>1</v>
      </c>
      <c r="E89" s="24" t="b">
        <v>1</v>
      </c>
    </row>
    <row r="90" spans="1:5">
      <c r="A90" s="45" t="s">
        <v>535</v>
      </c>
      <c r="B90" s="24"/>
      <c r="C90" s="25" t="s">
        <v>854</v>
      </c>
      <c r="D90" s="24">
        <v>1</v>
      </c>
      <c r="E90" s="24" t="b">
        <v>1</v>
      </c>
    </row>
  </sheetData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7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I8" sqref="I8"/>
    </sheetView>
  </sheetViews>
  <sheetFormatPr defaultColWidth="9.14285714285714" defaultRowHeight="15" outlineLevelRow="6"/>
  <cols>
    <col min="1" max="1" width="3" style="15" customWidth="1"/>
    <col min="2" max="2" width="17.2857142857143" style="15" customWidth="1"/>
    <col min="3" max="3" width="24.8571428571429" style="15" customWidth="1"/>
    <col min="4" max="4" width="6.85714285714286" style="15" customWidth="1"/>
    <col min="5" max="5" width="21.1428571428571" style="15" customWidth="1"/>
    <col min="6" max="6" width="21.4285714285714" style="15" customWidth="1"/>
    <col min="7" max="7" width="11.4285714285714" style="15" customWidth="1"/>
    <col min="8" max="8" width="10.8571428571429" style="15" customWidth="1"/>
    <col min="9" max="9" width="14" style="15" customWidth="1"/>
    <col min="10" max="10" width="19.5714285714286" style="15" customWidth="1"/>
    <col min="11" max="11" width="6.85714285714286" style="15" customWidth="1"/>
    <col min="12" max="12" width="26.1428571428571" style="15" customWidth="1"/>
    <col min="13" max="13" width="6.85714285714286" style="15" customWidth="1"/>
    <col min="14" max="14" width="21.8571428571429" style="15" customWidth="1"/>
    <col min="15" max="15" width="6.85714285714286" style="15" customWidth="1"/>
    <col min="16" max="16" width="25" style="15" customWidth="1"/>
    <col min="17" max="17" width="6.85714285714286" style="15" customWidth="1"/>
    <col min="18" max="18" width="20.4285714285714" style="15" hidden="1" customWidth="1"/>
    <col min="19" max="19" width="6.85714285714286" style="15" hidden="1" customWidth="1"/>
    <col min="20" max="20" width="18.8571428571429" style="15" customWidth="1"/>
    <col min="21" max="21" width="7.42857142857143" style="15" customWidth="1"/>
    <col min="22" max="22" width="17.4285714285714" style="15" customWidth="1"/>
    <col min="23" max="23" width="7.42857142857143" style="15" customWidth="1"/>
    <col min="24" max="24" width="20.4285714285714" style="15" customWidth="1"/>
    <col min="25" max="25" width="7.42857142857143" style="15" customWidth="1"/>
    <col min="26" max="26" width="23.2857142857143" style="15" customWidth="1"/>
    <col min="27" max="27" width="6.85714285714286" style="15" customWidth="1"/>
    <col min="28" max="28" width="16" style="15" customWidth="1"/>
    <col min="29" max="29" width="6.85714285714286" style="15" customWidth="1"/>
    <col min="30" max="30" width="24.7142857142857" style="15" customWidth="1"/>
    <col min="31" max="31" width="6.85714285714286" style="15" customWidth="1"/>
    <col min="32" max="32" width="24.1428571428571" customWidth="1"/>
    <col min="33" max="33" width="7.85714285714286" style="15" customWidth="1"/>
    <col min="34" max="34" width="11" style="15" customWidth="1"/>
    <col min="35" max="35" width="10.7142857142857" style="15" customWidth="1"/>
    <col min="36" max="1025" width="9.14285714285714" style="15"/>
  </cols>
  <sheetData>
    <row r="1" spans="1:37">
      <c r="A1" s="16" t="s">
        <v>250</v>
      </c>
      <c r="B1" s="16" t="s">
        <v>569</v>
      </c>
      <c r="C1" s="16" t="s">
        <v>577</v>
      </c>
      <c r="D1" s="16" t="s">
        <v>855</v>
      </c>
      <c r="E1" s="16" t="s">
        <v>856</v>
      </c>
      <c r="F1" s="16" t="s">
        <v>576</v>
      </c>
      <c r="G1" s="16" t="s">
        <v>857</v>
      </c>
      <c r="H1" s="16" t="s">
        <v>858</v>
      </c>
      <c r="I1" s="16" t="s">
        <v>859</v>
      </c>
      <c r="J1" s="16" t="s">
        <v>860</v>
      </c>
      <c r="K1" s="16" t="s">
        <v>861</v>
      </c>
      <c r="L1" s="16" t="s">
        <v>862</v>
      </c>
      <c r="M1" s="16" t="s">
        <v>863</v>
      </c>
      <c r="N1" s="16" t="s">
        <v>864</v>
      </c>
      <c r="O1" s="16" t="s">
        <v>865</v>
      </c>
      <c r="P1" s="16" t="s">
        <v>866</v>
      </c>
      <c r="Q1" s="16" t="s">
        <v>867</v>
      </c>
      <c r="R1" s="16" t="s">
        <v>868</v>
      </c>
      <c r="S1" s="16" t="s">
        <v>869</v>
      </c>
      <c r="T1" s="16" t="s">
        <v>870</v>
      </c>
      <c r="U1" s="16" t="s">
        <v>871</v>
      </c>
      <c r="V1" s="16" t="s">
        <v>872</v>
      </c>
      <c r="W1" s="16" t="s">
        <v>873</v>
      </c>
      <c r="X1" s="16" t="s">
        <v>874</v>
      </c>
      <c r="Y1" s="16" t="s">
        <v>875</v>
      </c>
      <c r="Z1" s="16" t="s">
        <v>876</v>
      </c>
      <c r="AA1" s="16" t="s">
        <v>877</v>
      </c>
      <c r="AB1" s="16" t="s">
        <v>876</v>
      </c>
      <c r="AC1" s="16" t="s">
        <v>877</v>
      </c>
      <c r="AD1" s="16" t="s">
        <v>878</v>
      </c>
      <c r="AE1" s="16" t="s">
        <v>879</v>
      </c>
      <c r="AF1" s="16" t="s">
        <v>880</v>
      </c>
      <c r="AG1" s="16" t="s">
        <v>881</v>
      </c>
      <c r="AH1" s="16" t="s">
        <v>882</v>
      </c>
      <c r="AI1" s="16" t="s">
        <v>883</v>
      </c>
    </row>
    <row r="2" s="13" customFormat="1" spans="1:37">
      <c r="A2" s="17">
        <v>1</v>
      </c>
      <c r="B2" s="17" t="s">
        <v>884</v>
      </c>
      <c r="C2" s="17" t="s">
        <v>885</v>
      </c>
      <c r="D2" s="17" t="b">
        <f t="shared" ref="D2:D7" si="0">TRUE()</f>
        <v>1</v>
      </c>
      <c r="E2" s="17" t="s">
        <v>273</v>
      </c>
      <c r="F2" s="17" t="s">
        <v>327</v>
      </c>
      <c r="G2" s="17"/>
      <c r="H2" s="17">
        <v>0</v>
      </c>
      <c r="I2" s="17"/>
      <c r="J2" s="17" t="s">
        <v>298</v>
      </c>
      <c r="K2" s="17">
        <v>0.5</v>
      </c>
      <c r="L2" s="17" t="s">
        <v>404</v>
      </c>
      <c r="M2" s="17">
        <v>8</v>
      </c>
      <c r="N2" s="17" t="s">
        <v>413</v>
      </c>
      <c r="O2" s="17">
        <v>1.5</v>
      </c>
      <c r="P2" s="17" t="s">
        <v>358</v>
      </c>
      <c r="Q2" s="17">
        <v>14</v>
      </c>
      <c r="R2" s="18" t="s">
        <v>324</v>
      </c>
      <c r="S2" s="18">
        <v>1.5</v>
      </c>
      <c r="T2" s="17" t="s">
        <v>368</v>
      </c>
      <c r="U2" s="17">
        <v>8</v>
      </c>
      <c r="V2" s="18" t="s">
        <v>392</v>
      </c>
      <c r="W2" s="18">
        <v>32</v>
      </c>
      <c r="X2" s="18" t="s">
        <v>386</v>
      </c>
      <c r="Y2" s="18">
        <v>0</v>
      </c>
      <c r="Z2" s="17" t="s">
        <v>380</v>
      </c>
      <c r="AA2" s="17">
        <v>38</v>
      </c>
      <c r="AB2" s="17" t="s">
        <v>425</v>
      </c>
      <c r="AC2" s="17">
        <v>70</v>
      </c>
      <c r="AD2" s="17"/>
      <c r="AE2" s="17"/>
      <c r="AF2" s="17"/>
      <c r="AG2" s="17"/>
      <c r="AH2" s="17">
        <f>((100-U2)*K2*M2/100+U2*K2*M2*O2/100)</f>
        <v>4.16</v>
      </c>
      <c r="AI2" s="17">
        <f>((100-U2)*K2*M2/100+U2*K2*M2*O2/100)*(1+(AJ2*0.6))*(1+(AK2*0.4))</f>
        <v>4.16</v>
      </c>
    </row>
    <row r="3" s="13" customFormat="1" spans="1:37">
      <c r="A3" s="17">
        <v>2</v>
      </c>
      <c r="B3" s="17" t="s">
        <v>886</v>
      </c>
      <c r="C3" s="17" t="s">
        <v>887</v>
      </c>
      <c r="D3" s="17" t="b">
        <f t="shared" si="0"/>
        <v>1</v>
      </c>
      <c r="E3" s="17" t="s">
        <v>273</v>
      </c>
      <c r="F3" s="17" t="s">
        <v>337</v>
      </c>
      <c r="G3" s="17"/>
      <c r="H3" s="17">
        <v>3</v>
      </c>
      <c r="I3" s="17"/>
      <c r="J3" s="17" t="s">
        <v>298</v>
      </c>
      <c r="K3" s="17">
        <v>0.9</v>
      </c>
      <c r="L3" s="17" t="s">
        <v>404</v>
      </c>
      <c r="M3" s="17">
        <v>1.5</v>
      </c>
      <c r="N3" s="17" t="s">
        <v>413</v>
      </c>
      <c r="O3" s="17">
        <v>1.5</v>
      </c>
      <c r="P3" s="17" t="s">
        <v>358</v>
      </c>
      <c r="Q3" s="17">
        <v>10</v>
      </c>
      <c r="R3" s="18" t="s">
        <v>324</v>
      </c>
      <c r="S3" s="18">
        <v>1.5</v>
      </c>
      <c r="T3" s="17" t="s">
        <v>368</v>
      </c>
      <c r="U3" s="17">
        <v>8</v>
      </c>
      <c r="V3" s="18" t="s">
        <v>392</v>
      </c>
      <c r="W3" s="18">
        <v>6</v>
      </c>
      <c r="X3" s="18" t="s">
        <v>386</v>
      </c>
      <c r="Y3" s="18">
        <v>0</v>
      </c>
      <c r="Z3" s="17" t="s">
        <v>380</v>
      </c>
      <c r="AA3" s="17">
        <v>42</v>
      </c>
      <c r="AB3" s="17" t="s">
        <v>425</v>
      </c>
      <c r="AC3" s="17">
        <v>60</v>
      </c>
      <c r="AD3" s="17" t="s">
        <v>452</v>
      </c>
      <c r="AE3" s="17">
        <v>4</v>
      </c>
      <c r="AF3" s="17"/>
      <c r="AG3" s="17"/>
      <c r="AH3" s="17">
        <f>((100-U3)*K3*M3/100+U3*K3*M3*O3/100)</f>
        <v>1.404</v>
      </c>
      <c r="AI3" s="17">
        <f>((100-U3)*K3*M3/100+U3*K3*M3*O3/100)*(1+(AJ3*0.6))*(1+(AK3*0.4))</f>
        <v>4.7736</v>
      </c>
      <c r="AJ3" s="13">
        <v>4</v>
      </c>
    </row>
    <row r="4" s="13" customFormat="1" spans="1:37">
      <c r="A4" s="17">
        <v>3</v>
      </c>
      <c r="B4" s="17" t="s">
        <v>888</v>
      </c>
      <c r="C4" s="17" t="s">
        <v>889</v>
      </c>
      <c r="D4" s="17" t="b">
        <f t="shared" si="0"/>
        <v>1</v>
      </c>
      <c r="E4" s="17" t="s">
        <v>273</v>
      </c>
      <c r="F4" s="17" t="s">
        <v>347</v>
      </c>
      <c r="G4" s="17"/>
      <c r="H4" s="17">
        <v>5</v>
      </c>
      <c r="I4" s="17"/>
      <c r="J4" s="17" t="s">
        <v>298</v>
      </c>
      <c r="K4" s="17">
        <v>2.1</v>
      </c>
      <c r="L4" s="17" t="s">
        <v>404</v>
      </c>
      <c r="M4" s="17">
        <v>1</v>
      </c>
      <c r="N4" s="17" t="s">
        <v>413</v>
      </c>
      <c r="O4" s="17">
        <v>3</v>
      </c>
      <c r="P4" s="17" t="s">
        <v>358</v>
      </c>
      <c r="Q4" s="17">
        <v>18</v>
      </c>
      <c r="R4" s="18" t="s">
        <v>324</v>
      </c>
      <c r="S4" s="18">
        <v>4</v>
      </c>
      <c r="T4" s="17" t="s">
        <v>368</v>
      </c>
      <c r="U4" s="17">
        <v>31</v>
      </c>
      <c r="V4" s="18" t="s">
        <v>392</v>
      </c>
      <c r="W4" s="18">
        <v>2</v>
      </c>
      <c r="X4" s="18" t="s">
        <v>386</v>
      </c>
      <c r="Y4" s="18">
        <v>0</v>
      </c>
      <c r="Z4" s="17" t="s">
        <v>380</v>
      </c>
      <c r="AA4" s="17">
        <v>52</v>
      </c>
      <c r="AB4" s="17" t="s">
        <v>425</v>
      </c>
      <c r="AC4" s="17">
        <v>90</v>
      </c>
      <c r="AD4" s="17"/>
      <c r="AE4" s="17"/>
      <c r="AF4" s="17" t="s">
        <v>410</v>
      </c>
      <c r="AG4" s="17">
        <v>1</v>
      </c>
      <c r="AH4" s="17">
        <f>((100-U4)*K4*M4/100+U4*K4*M4*O4/100)</f>
        <v>3.402</v>
      </c>
      <c r="AI4" s="17">
        <f t="shared" ref="AI4:AI7" si="1">((100-U4)*K4*M4/100+U4*K4*M4*O4/100)*(1+(AJ4*0.6))*(1+(AK4*0.4))</f>
        <v>4.7628</v>
      </c>
      <c r="AK4" s="13">
        <v>1</v>
      </c>
    </row>
    <row r="5" s="13" customFormat="1" spans="1:37">
      <c r="A5" s="17">
        <v>4</v>
      </c>
      <c r="B5" s="17" t="s">
        <v>890</v>
      </c>
      <c r="C5" s="17" t="s">
        <v>891</v>
      </c>
      <c r="D5" s="17" t="b">
        <f t="shared" si="0"/>
        <v>1</v>
      </c>
      <c r="E5" s="17" t="s">
        <v>273</v>
      </c>
      <c r="F5" s="17" t="s">
        <v>316</v>
      </c>
      <c r="G5" s="17"/>
      <c r="H5" s="17">
        <v>7</v>
      </c>
      <c r="I5" s="17"/>
      <c r="J5" s="17" t="s">
        <v>298</v>
      </c>
      <c r="K5" s="17">
        <v>1.5</v>
      </c>
      <c r="L5" s="17" t="s">
        <v>404</v>
      </c>
      <c r="M5" s="17">
        <v>2</v>
      </c>
      <c r="N5" s="17" t="s">
        <v>413</v>
      </c>
      <c r="O5" s="17">
        <v>2</v>
      </c>
      <c r="P5" s="17" t="s">
        <v>358</v>
      </c>
      <c r="Q5" s="17">
        <v>14</v>
      </c>
      <c r="R5" s="18" t="s">
        <v>324</v>
      </c>
      <c r="S5" s="18">
        <v>2</v>
      </c>
      <c r="T5" s="17" t="s">
        <v>368</v>
      </c>
      <c r="U5" s="17">
        <v>15</v>
      </c>
      <c r="V5" s="18" t="s">
        <v>392</v>
      </c>
      <c r="W5" s="18">
        <v>8</v>
      </c>
      <c r="X5" s="18" t="s">
        <v>386</v>
      </c>
      <c r="Y5" s="18">
        <v>1.8</v>
      </c>
      <c r="Z5" s="17" t="s">
        <v>380</v>
      </c>
      <c r="AA5" s="17">
        <v>42</v>
      </c>
      <c r="AB5" s="17" t="s">
        <v>425</v>
      </c>
      <c r="AC5" s="17">
        <v>80</v>
      </c>
      <c r="AD5" s="17" t="s">
        <v>522</v>
      </c>
      <c r="AE5" s="17">
        <v>1</v>
      </c>
      <c r="AH5" s="17">
        <f>((100-U5)*K5*M5/100+U5*K5*M5*O5/100)</f>
        <v>3.45</v>
      </c>
      <c r="AI5" s="17">
        <f t="shared" si="1"/>
        <v>3.45</v>
      </c>
    </row>
    <row r="6" s="14" customFormat="1" spans="1:37">
      <c r="A6" s="19">
        <v>5</v>
      </c>
      <c r="B6" s="20" t="s">
        <v>892</v>
      </c>
      <c r="C6" s="19" t="s">
        <v>893</v>
      </c>
      <c r="D6" s="20" t="b">
        <f t="shared" si="0"/>
        <v>1</v>
      </c>
      <c r="E6" s="17" t="s">
        <v>273</v>
      </c>
      <c r="F6" s="20" t="s">
        <v>327</v>
      </c>
      <c r="G6" s="20"/>
      <c r="H6" s="20">
        <v>9</v>
      </c>
      <c r="I6" s="20">
        <v>300</v>
      </c>
      <c r="J6" s="20" t="s">
        <v>298</v>
      </c>
      <c r="K6" s="20">
        <v>3.3</v>
      </c>
      <c r="L6" s="20" t="s">
        <v>404</v>
      </c>
      <c r="M6" s="20">
        <v>0.8</v>
      </c>
      <c r="N6" s="20" t="s">
        <v>413</v>
      </c>
      <c r="O6" s="20">
        <v>2</v>
      </c>
      <c r="P6" s="20" t="s">
        <v>358</v>
      </c>
      <c r="Q6" s="20">
        <v>16</v>
      </c>
      <c r="R6" s="20" t="s">
        <v>324</v>
      </c>
      <c r="S6" s="20">
        <v>4</v>
      </c>
      <c r="T6" s="20" t="s">
        <v>368</v>
      </c>
      <c r="U6" s="20">
        <v>30</v>
      </c>
      <c r="V6" s="20" t="s">
        <v>392</v>
      </c>
      <c r="W6" s="20">
        <v>2</v>
      </c>
      <c r="X6" s="20" t="s">
        <v>386</v>
      </c>
      <c r="Y6" s="20">
        <v>0</v>
      </c>
      <c r="Z6" s="20" t="s">
        <v>380</v>
      </c>
      <c r="AA6" s="20">
        <v>52</v>
      </c>
      <c r="AB6" s="20" t="s">
        <v>425</v>
      </c>
      <c r="AC6" s="20">
        <v>85</v>
      </c>
      <c r="AD6" s="20"/>
      <c r="AE6" s="20"/>
      <c r="AF6" s="20"/>
      <c r="AG6" s="20"/>
      <c r="AH6" s="20">
        <f t="shared" ref="AH6:AH7" si="2">((100-U6)*K6*M6/100+U6*K6*M6*O6/100)</f>
        <v>3.432</v>
      </c>
      <c r="AI6" s="20">
        <f t="shared" si="1"/>
        <v>3.432</v>
      </c>
    </row>
    <row r="7" s="14" customFormat="1" spans="1:37">
      <c r="A7" s="19">
        <v>6</v>
      </c>
      <c r="B7" s="20" t="s">
        <v>894</v>
      </c>
      <c r="C7" s="19" t="s">
        <v>895</v>
      </c>
      <c r="D7" s="20" t="b">
        <f t="shared" si="0"/>
        <v>1</v>
      </c>
      <c r="E7" s="17" t="s">
        <v>273</v>
      </c>
      <c r="F7" s="20" t="s">
        <v>316</v>
      </c>
      <c r="G7" s="20"/>
      <c r="H7" s="20">
        <v>9</v>
      </c>
      <c r="I7" s="20"/>
      <c r="J7" s="20" t="s">
        <v>298</v>
      </c>
      <c r="K7" s="20">
        <v>1.1</v>
      </c>
      <c r="L7" s="20" t="s">
        <v>404</v>
      </c>
      <c r="M7" s="20">
        <v>2.7</v>
      </c>
      <c r="N7" s="20" t="s">
        <v>413</v>
      </c>
      <c r="O7" s="20">
        <v>2</v>
      </c>
      <c r="P7" s="20" t="s">
        <v>358</v>
      </c>
      <c r="Q7" s="20">
        <v>14</v>
      </c>
      <c r="R7" s="20" t="s">
        <v>324</v>
      </c>
      <c r="S7" s="20">
        <v>2</v>
      </c>
      <c r="T7" s="20" t="s">
        <v>368</v>
      </c>
      <c r="U7" s="20">
        <v>15</v>
      </c>
      <c r="V7" s="20" t="s">
        <v>392</v>
      </c>
      <c r="W7" s="20">
        <v>8</v>
      </c>
      <c r="X7" s="20" t="s">
        <v>386</v>
      </c>
      <c r="Y7" s="20">
        <v>2</v>
      </c>
      <c r="Z7" s="20" t="s">
        <v>380</v>
      </c>
      <c r="AA7" s="20">
        <v>42</v>
      </c>
      <c r="AB7" s="20" t="s">
        <v>425</v>
      </c>
      <c r="AC7" s="20">
        <v>70</v>
      </c>
      <c r="AD7" s="19"/>
      <c r="AE7" s="19"/>
      <c r="AF7" s="20" t="s">
        <v>522</v>
      </c>
      <c r="AG7" s="20">
        <v>1</v>
      </c>
      <c r="AH7" s="20">
        <f t="shared" si="2"/>
        <v>3.4155</v>
      </c>
      <c r="AI7" s="20">
        <f t="shared" si="1"/>
        <v>3.4155</v>
      </c>
    </row>
  </sheetData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C18" sqref="C18"/>
    </sheetView>
  </sheetViews>
  <sheetFormatPr defaultColWidth="8.71428571428571" defaultRowHeight="15" outlineLevelCol="6"/>
  <cols>
    <col min="1" max="1" width="3" customWidth="1"/>
    <col min="2" max="2" width="22.7142857142857" customWidth="1"/>
    <col min="3" max="3" width="26.2857142857143" customWidth="1"/>
    <col min="4" max="4" width="12.4285714285714" customWidth="1"/>
    <col min="5" max="5" width="4.57142857142857" customWidth="1"/>
  </cols>
  <sheetData>
    <row r="1" spans="1:7">
      <c r="A1" t="s">
        <v>250</v>
      </c>
      <c r="B1" t="s">
        <v>896</v>
      </c>
      <c r="C1" t="s">
        <v>897</v>
      </c>
      <c r="D1" t="s">
        <v>898</v>
      </c>
      <c r="E1" t="s">
        <v>899</v>
      </c>
      <c r="F1" t="s">
        <v>900</v>
      </c>
    </row>
    <row r="2" spans="1:7">
      <c r="A2" s="3">
        <v>1</v>
      </c>
      <c r="B2" s="4" t="s">
        <v>299</v>
      </c>
      <c r="C2" s="4">
        <v>0</v>
      </c>
      <c r="D2" s="4">
        <v>1</v>
      </c>
      <c r="E2" s="4">
        <v>0</v>
      </c>
      <c r="F2" s="5">
        <f t="shared" ref="F2:F12" si="0">E2/$G$2*100</f>
        <v>0</v>
      </c>
      <c r="G2">
        <f>SUM(E2:E12)</f>
        <v>578</v>
      </c>
    </row>
    <row r="3" spans="1:7">
      <c r="A3" s="6">
        <v>2</v>
      </c>
      <c r="B3" t="s">
        <v>299</v>
      </c>
      <c r="C3">
        <v>0</v>
      </c>
      <c r="D3">
        <v>2</v>
      </c>
      <c r="E3">
        <v>0</v>
      </c>
      <c r="F3" s="7">
        <f t="shared" si="0"/>
        <v>0</v>
      </c>
    </row>
    <row r="4" spans="1:7">
      <c r="A4" s="8">
        <v>3</v>
      </c>
      <c r="B4" t="s">
        <v>299</v>
      </c>
      <c r="C4" s="9">
        <v>0</v>
      </c>
      <c r="D4" s="9">
        <v>4</v>
      </c>
      <c r="E4" s="9">
        <v>0</v>
      </c>
      <c r="F4" s="10">
        <f t="shared" si="0"/>
        <v>0</v>
      </c>
    </row>
    <row r="5" spans="1:7">
      <c r="A5" s="3">
        <v>4</v>
      </c>
      <c r="B5" s="4" t="s">
        <v>270</v>
      </c>
      <c r="C5" s="4" t="s">
        <v>286</v>
      </c>
      <c r="D5" s="4">
        <v>2</v>
      </c>
      <c r="E5" s="4">
        <v>120</v>
      </c>
      <c r="F5" s="5">
        <f t="shared" si="0"/>
        <v>20.7612456747405</v>
      </c>
    </row>
    <row r="6" spans="1:7">
      <c r="A6" s="6">
        <v>5</v>
      </c>
      <c r="B6" t="s">
        <v>270</v>
      </c>
      <c r="C6" t="s">
        <v>286</v>
      </c>
      <c r="D6">
        <v>4</v>
      </c>
      <c r="E6">
        <v>60</v>
      </c>
      <c r="F6" s="7">
        <f t="shared" si="0"/>
        <v>10.3806228373702</v>
      </c>
    </row>
    <row r="7" spans="1:7">
      <c r="A7" s="8">
        <v>6</v>
      </c>
      <c r="B7" s="9" t="s">
        <v>270</v>
      </c>
      <c r="C7" s="9" t="s">
        <v>286</v>
      </c>
      <c r="D7" s="9">
        <v>8</v>
      </c>
      <c r="E7" s="9">
        <v>30</v>
      </c>
      <c r="F7" s="10">
        <f t="shared" si="0"/>
        <v>5.19031141868512</v>
      </c>
    </row>
    <row r="8" spans="1:7">
      <c r="A8" s="3">
        <v>7</v>
      </c>
      <c r="B8" s="4" t="s">
        <v>270</v>
      </c>
      <c r="C8" s="4" t="s">
        <v>325</v>
      </c>
      <c r="D8" s="4">
        <v>2</v>
      </c>
      <c r="E8" s="4">
        <f>E10*5</f>
        <v>200</v>
      </c>
      <c r="F8" s="5">
        <f t="shared" si="0"/>
        <v>34.6020761245675</v>
      </c>
    </row>
    <row r="9" spans="1:7">
      <c r="A9" s="6">
        <v>8</v>
      </c>
      <c r="B9" t="s">
        <v>270</v>
      </c>
      <c r="C9" t="s">
        <v>325</v>
      </c>
      <c r="D9">
        <v>4</v>
      </c>
      <c r="E9">
        <f>E8/2</f>
        <v>100</v>
      </c>
      <c r="F9" s="7">
        <f t="shared" si="0"/>
        <v>17.3010380622837</v>
      </c>
    </row>
    <row r="10" spans="1:7">
      <c r="A10" s="3">
        <v>9</v>
      </c>
      <c r="B10" s="4" t="s">
        <v>270</v>
      </c>
      <c r="C10" s="4" t="s">
        <v>336</v>
      </c>
      <c r="D10" s="4">
        <v>1</v>
      </c>
      <c r="E10" s="4">
        <f>E12*5</f>
        <v>40</v>
      </c>
      <c r="F10" s="5">
        <f t="shared" si="0"/>
        <v>6.9204152249135</v>
      </c>
    </row>
    <row r="11" spans="1:7">
      <c r="A11" s="6">
        <v>10</v>
      </c>
      <c r="B11" t="s">
        <v>270</v>
      </c>
      <c r="C11" t="s">
        <v>336</v>
      </c>
      <c r="D11">
        <v>2</v>
      </c>
      <c r="E11">
        <f>E9/5</f>
        <v>20</v>
      </c>
      <c r="F11" s="7">
        <f t="shared" si="0"/>
        <v>3.46020761245675</v>
      </c>
    </row>
    <row r="12" spans="1:7">
      <c r="A12" s="8">
        <v>11</v>
      </c>
      <c r="B12" s="11" t="s">
        <v>270</v>
      </c>
      <c r="C12" s="11" t="s">
        <v>345</v>
      </c>
      <c r="D12" s="11">
        <v>1</v>
      </c>
      <c r="E12" s="11">
        <v>8</v>
      </c>
      <c r="F12" s="12">
        <f t="shared" si="0"/>
        <v>1.3840830449827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topLeftCell="A43" workbookViewId="0">
      <selection activeCell="C76" sqref="C76"/>
    </sheetView>
  </sheetViews>
  <sheetFormatPr defaultColWidth="8.71428571428571" defaultRowHeight="15" outlineLevelCol="3"/>
  <cols>
    <col min="1" max="1" width="5.42857142857143" customWidth="1"/>
    <col min="2" max="2" width="84.4285714285714" customWidth="1"/>
    <col min="3" max="3" width="74.5714285714286" customWidth="1"/>
    <col min="4" max="4" width="14.8571428571429" customWidth="1"/>
  </cols>
  <sheetData>
    <row r="1" spans="1:4">
      <c r="A1" t="s">
        <v>222</v>
      </c>
      <c r="B1" t="s">
        <v>901</v>
      </c>
      <c r="C1" t="s">
        <v>902</v>
      </c>
      <c r="D1" t="s">
        <v>903</v>
      </c>
    </row>
    <row r="2" s="1" customFormat="1" spans="1:4">
      <c r="A2" s="1">
        <v>1</v>
      </c>
    </row>
    <row r="3" s="1" customFormat="1" spans="1:4">
      <c r="A3" s="1">
        <v>2</v>
      </c>
      <c r="B3" s="1" t="s">
        <v>904</v>
      </c>
      <c r="C3" s="1" t="s">
        <v>905</v>
      </c>
      <c r="D3" s="1" t="s">
        <v>906</v>
      </c>
    </row>
    <row r="4" s="1" customFormat="1" spans="1:4">
      <c r="A4" s="1">
        <v>3</v>
      </c>
      <c r="B4" s="1" t="s">
        <v>904</v>
      </c>
      <c r="C4" s="1" t="s">
        <v>907</v>
      </c>
      <c r="D4" s="1" t="s">
        <v>906</v>
      </c>
    </row>
    <row r="5" s="1" customFormat="1" spans="1:4">
      <c r="A5" s="1">
        <v>4</v>
      </c>
      <c r="B5" s="1" t="s">
        <v>904</v>
      </c>
      <c r="C5" s="1" t="s">
        <v>908</v>
      </c>
      <c r="D5" s="1" t="s">
        <v>906</v>
      </c>
    </row>
    <row r="6" s="1" customFormat="1" spans="1:4">
      <c r="A6" s="1">
        <v>5</v>
      </c>
      <c r="B6" s="1" t="s">
        <v>904</v>
      </c>
      <c r="C6" s="1" t="s">
        <v>909</v>
      </c>
      <c r="D6" s="1" t="s">
        <v>906</v>
      </c>
    </row>
    <row r="7" s="1" customFormat="1" spans="1:4">
      <c r="A7" s="1">
        <v>6</v>
      </c>
      <c r="B7" s="1" t="s">
        <v>904</v>
      </c>
      <c r="C7" s="1" t="s">
        <v>910</v>
      </c>
      <c r="D7" s="1" t="s">
        <v>906</v>
      </c>
    </row>
    <row r="8" s="1" customFormat="1" spans="1:4">
      <c r="A8" s="1">
        <v>7</v>
      </c>
      <c r="B8" s="1" t="s">
        <v>904</v>
      </c>
      <c r="C8" s="1" t="s">
        <v>911</v>
      </c>
      <c r="D8" s="1" t="s">
        <v>906</v>
      </c>
    </row>
    <row r="9" s="1" customFormat="1" spans="1:4">
      <c r="A9" s="1">
        <v>8</v>
      </c>
      <c r="B9" s="1" t="s">
        <v>904</v>
      </c>
      <c r="C9" s="1" t="s">
        <v>912</v>
      </c>
      <c r="D9" s="1" t="s">
        <v>906</v>
      </c>
    </row>
    <row r="10" s="1" customFormat="1" spans="1:4">
      <c r="A10" s="1">
        <v>9</v>
      </c>
      <c r="B10" s="1" t="s">
        <v>904</v>
      </c>
      <c r="C10" s="1" t="s">
        <v>913</v>
      </c>
      <c r="D10" s="1" t="s">
        <v>906</v>
      </c>
    </row>
    <row r="11" s="1" customFormat="1" spans="1:4">
      <c r="A11" s="1">
        <v>10</v>
      </c>
      <c r="B11" s="1" t="s">
        <v>914</v>
      </c>
      <c r="C11" s="1" t="s">
        <v>915</v>
      </c>
      <c r="D11" s="1" t="s">
        <v>916</v>
      </c>
    </row>
    <row r="12" s="2" customFormat="1" spans="1:4">
      <c r="A12" s="2">
        <v>11</v>
      </c>
      <c r="B12" s="2" t="s">
        <v>904</v>
      </c>
      <c r="C12" s="2" t="s">
        <v>917</v>
      </c>
      <c r="D12" s="2" t="s">
        <v>918</v>
      </c>
    </row>
    <row r="13" s="2" customFormat="1" spans="1:4">
      <c r="A13" s="2">
        <v>12</v>
      </c>
      <c r="B13" s="2" t="s">
        <v>904</v>
      </c>
      <c r="C13" s="2" t="s">
        <v>919</v>
      </c>
      <c r="D13" s="2" t="s">
        <v>918</v>
      </c>
    </row>
    <row r="14" s="2" customFormat="1" spans="1:4">
      <c r="A14" s="2">
        <v>13</v>
      </c>
      <c r="B14" s="2" t="s">
        <v>904</v>
      </c>
      <c r="C14" s="2" t="s">
        <v>920</v>
      </c>
      <c r="D14" s="2" t="s">
        <v>918</v>
      </c>
    </row>
    <row r="15" s="2" customFormat="1" spans="1:4">
      <c r="A15" s="2">
        <v>14</v>
      </c>
      <c r="B15" s="2" t="s">
        <v>904</v>
      </c>
      <c r="C15" s="2" t="s">
        <v>921</v>
      </c>
      <c r="D15" s="2" t="s">
        <v>918</v>
      </c>
    </row>
    <row r="16" s="2" customFormat="1" spans="1:4">
      <c r="A16" s="2">
        <v>15</v>
      </c>
      <c r="B16" s="2" t="s">
        <v>914</v>
      </c>
      <c r="C16" s="2" t="s">
        <v>922</v>
      </c>
      <c r="D16" s="2" t="s">
        <v>923</v>
      </c>
    </row>
    <row r="17" s="2" customFormat="1" spans="1:4">
      <c r="A17" s="2">
        <v>16</v>
      </c>
      <c r="B17" s="2" t="s">
        <v>904</v>
      </c>
      <c r="C17" s="2" t="s">
        <v>924</v>
      </c>
      <c r="D17" s="2" t="s">
        <v>918</v>
      </c>
    </row>
    <row r="18" s="2" customFormat="1" spans="1:4">
      <c r="A18" s="2">
        <v>17</v>
      </c>
      <c r="B18" s="2" t="s">
        <v>904</v>
      </c>
      <c r="C18" s="2" t="s">
        <v>925</v>
      </c>
      <c r="D18" s="2" t="s">
        <v>918</v>
      </c>
    </row>
    <row r="19" s="2" customFormat="1" spans="1:4">
      <c r="A19" s="2">
        <v>18</v>
      </c>
      <c r="B19" s="2" t="s">
        <v>904</v>
      </c>
      <c r="C19" s="2" t="s">
        <v>926</v>
      </c>
      <c r="D19" s="2" t="s">
        <v>918</v>
      </c>
    </row>
    <row r="20" s="2" customFormat="1" spans="1:4">
      <c r="A20" s="2">
        <v>19</v>
      </c>
      <c r="B20" s="2" t="s">
        <v>904</v>
      </c>
      <c r="C20" s="2" t="s">
        <v>927</v>
      </c>
      <c r="D20" s="2" t="s">
        <v>918</v>
      </c>
    </row>
    <row r="21" s="2" customFormat="1" spans="1:4">
      <c r="A21" s="2">
        <v>20</v>
      </c>
      <c r="B21" s="2" t="s">
        <v>928</v>
      </c>
      <c r="C21" s="2" t="s">
        <v>929</v>
      </c>
      <c r="D21" s="2" t="s">
        <v>930</v>
      </c>
    </row>
    <row r="22" s="1" customFormat="1" spans="1:4">
      <c r="A22" s="1">
        <v>21</v>
      </c>
      <c r="B22" s="1" t="s">
        <v>904</v>
      </c>
      <c r="C22" s="1" t="s">
        <v>931</v>
      </c>
      <c r="D22" s="1" t="s">
        <v>932</v>
      </c>
    </row>
    <row r="23" s="1" customFormat="1" spans="1:4">
      <c r="A23" s="1">
        <v>22</v>
      </c>
      <c r="B23" s="1" t="s">
        <v>904</v>
      </c>
      <c r="C23" s="1" t="s">
        <v>933</v>
      </c>
      <c r="D23" s="1" t="s">
        <v>932</v>
      </c>
    </row>
    <row r="24" s="1" customFormat="1" spans="1:4">
      <c r="A24" s="1">
        <v>23</v>
      </c>
      <c r="B24" s="1" t="s">
        <v>904</v>
      </c>
      <c r="C24" s="1" t="s">
        <v>934</v>
      </c>
      <c r="D24" s="1" t="s">
        <v>932</v>
      </c>
    </row>
    <row r="25" s="1" customFormat="1" spans="1:4">
      <c r="A25" s="1">
        <v>24</v>
      </c>
      <c r="B25" s="1" t="s">
        <v>904</v>
      </c>
      <c r="C25" s="1" t="s">
        <v>935</v>
      </c>
      <c r="D25" s="1" t="s">
        <v>932</v>
      </c>
    </row>
    <row r="26" s="1" customFormat="1" spans="1:4">
      <c r="A26" s="1">
        <v>25</v>
      </c>
      <c r="B26" s="1" t="s">
        <v>914</v>
      </c>
      <c r="C26" s="1" t="s">
        <v>936</v>
      </c>
      <c r="D26" s="1" t="s">
        <v>937</v>
      </c>
    </row>
    <row r="27" s="1" customFormat="1" spans="1:4">
      <c r="A27" s="1">
        <v>26</v>
      </c>
      <c r="B27" s="1" t="s">
        <v>904</v>
      </c>
      <c r="C27" s="1" t="s">
        <v>938</v>
      </c>
      <c r="D27" s="1" t="s">
        <v>932</v>
      </c>
    </row>
    <row r="28" s="1" customFormat="1" spans="1:4">
      <c r="A28" s="1">
        <v>27</v>
      </c>
      <c r="B28" s="1" t="s">
        <v>904</v>
      </c>
      <c r="C28" s="1" t="s">
        <v>939</v>
      </c>
      <c r="D28" s="1" t="s">
        <v>932</v>
      </c>
    </row>
    <row r="29" s="1" customFormat="1" spans="1:4">
      <c r="A29" s="1">
        <v>28</v>
      </c>
      <c r="B29" s="1" t="s">
        <v>904</v>
      </c>
      <c r="C29" s="1" t="s">
        <v>940</v>
      </c>
      <c r="D29" s="1" t="s">
        <v>932</v>
      </c>
    </row>
    <row r="30" s="1" customFormat="1" spans="1:4">
      <c r="A30" s="1">
        <v>29</v>
      </c>
      <c r="B30" s="1" t="s">
        <v>904</v>
      </c>
      <c r="C30" s="1" t="s">
        <v>941</v>
      </c>
      <c r="D30" s="1" t="s">
        <v>932</v>
      </c>
    </row>
    <row r="31" s="1" customFormat="1" spans="1:4">
      <c r="A31" s="1">
        <v>30</v>
      </c>
      <c r="B31" s="1" t="s">
        <v>928</v>
      </c>
      <c r="C31" s="1" t="s">
        <v>942</v>
      </c>
      <c r="D31" s="1" t="s">
        <v>943</v>
      </c>
    </row>
    <row r="32" s="2" customFormat="1" spans="1:4">
      <c r="A32" s="2">
        <v>31</v>
      </c>
      <c r="B32" s="2" t="s">
        <v>904</v>
      </c>
      <c r="C32" s="2" t="s">
        <v>944</v>
      </c>
      <c r="D32" s="2" t="s">
        <v>945</v>
      </c>
    </row>
    <row r="33" s="2" customFormat="1" spans="1:4">
      <c r="A33" s="2">
        <v>32</v>
      </c>
      <c r="B33" s="2" t="s">
        <v>904</v>
      </c>
      <c r="C33" s="2" t="s">
        <v>946</v>
      </c>
      <c r="D33" s="2" t="s">
        <v>945</v>
      </c>
    </row>
    <row r="34" s="2" customFormat="1" spans="1:4">
      <c r="A34" s="2">
        <v>33</v>
      </c>
      <c r="B34" s="2" t="s">
        <v>904</v>
      </c>
      <c r="C34" s="2" t="s">
        <v>947</v>
      </c>
      <c r="D34" s="2" t="s">
        <v>945</v>
      </c>
    </row>
    <row r="35" s="2" customFormat="1" spans="1:4">
      <c r="A35" s="2">
        <v>34</v>
      </c>
      <c r="B35" s="2" t="s">
        <v>904</v>
      </c>
      <c r="C35" s="2" t="s">
        <v>948</v>
      </c>
      <c r="D35" s="2" t="s">
        <v>945</v>
      </c>
    </row>
    <row r="36" s="2" customFormat="1" spans="1:4">
      <c r="A36" s="2">
        <v>35</v>
      </c>
      <c r="B36" s="2" t="s">
        <v>914</v>
      </c>
      <c r="C36" s="2" t="s">
        <v>949</v>
      </c>
      <c r="D36" s="2" t="s">
        <v>950</v>
      </c>
    </row>
    <row r="37" s="2" customFormat="1" spans="1:4">
      <c r="A37" s="2">
        <v>36</v>
      </c>
      <c r="B37" s="2" t="s">
        <v>904</v>
      </c>
      <c r="C37" s="2" t="s">
        <v>951</v>
      </c>
      <c r="D37" s="2" t="s">
        <v>945</v>
      </c>
    </row>
    <row r="38" s="2" customFormat="1" spans="1:4">
      <c r="A38" s="2">
        <v>37</v>
      </c>
      <c r="B38" s="2" t="s">
        <v>904</v>
      </c>
      <c r="C38" s="2" t="s">
        <v>952</v>
      </c>
      <c r="D38" s="2" t="s">
        <v>945</v>
      </c>
    </row>
    <row r="39" s="2" customFormat="1" spans="1:4">
      <c r="A39" s="2">
        <v>38</v>
      </c>
      <c r="B39" s="2" t="s">
        <v>904</v>
      </c>
      <c r="C39" s="2" t="s">
        <v>953</v>
      </c>
      <c r="D39" s="2" t="s">
        <v>945</v>
      </c>
    </row>
    <row r="40" s="2" customFormat="1" spans="1:4">
      <c r="A40" s="2">
        <v>39</v>
      </c>
      <c r="B40" s="2" t="s">
        <v>904</v>
      </c>
      <c r="C40" s="2" t="s">
        <v>954</v>
      </c>
      <c r="D40" s="2" t="s">
        <v>945</v>
      </c>
    </row>
    <row r="41" s="2" customFormat="1" spans="1:4">
      <c r="A41" s="2">
        <v>40</v>
      </c>
      <c r="B41" s="2" t="s">
        <v>928</v>
      </c>
      <c r="C41" s="2" t="s">
        <v>955</v>
      </c>
      <c r="D41" s="2" t="s">
        <v>956</v>
      </c>
    </row>
    <row r="42" s="1" customFormat="1" spans="1:4">
      <c r="A42" s="1">
        <v>41</v>
      </c>
      <c r="B42" s="1" t="s">
        <v>904</v>
      </c>
      <c r="C42" s="1" t="s">
        <v>957</v>
      </c>
      <c r="D42" s="1" t="s">
        <v>958</v>
      </c>
    </row>
    <row r="43" s="1" customFormat="1" spans="1:4">
      <c r="A43" s="1">
        <v>42</v>
      </c>
      <c r="B43" s="1" t="s">
        <v>904</v>
      </c>
      <c r="C43" s="1" t="s">
        <v>959</v>
      </c>
      <c r="D43" s="1" t="s">
        <v>958</v>
      </c>
    </row>
    <row r="44" s="1" customFormat="1" spans="1:4">
      <c r="A44" s="1">
        <v>43</v>
      </c>
      <c r="B44" s="1" t="s">
        <v>904</v>
      </c>
      <c r="C44" s="1" t="s">
        <v>960</v>
      </c>
      <c r="D44" s="1" t="s">
        <v>958</v>
      </c>
    </row>
    <row r="45" s="1" customFormat="1" spans="1:4">
      <c r="A45" s="1">
        <v>44</v>
      </c>
      <c r="B45" s="1" t="s">
        <v>904</v>
      </c>
      <c r="C45" s="1" t="s">
        <v>961</v>
      </c>
      <c r="D45" s="1" t="s">
        <v>958</v>
      </c>
    </row>
    <row r="46" s="1" customFormat="1" spans="1:4">
      <c r="A46" s="1">
        <v>45</v>
      </c>
      <c r="B46" s="1" t="s">
        <v>914</v>
      </c>
      <c r="C46" s="1" t="s">
        <v>962</v>
      </c>
      <c r="D46" s="1" t="s">
        <v>963</v>
      </c>
    </row>
    <row r="47" s="1" customFormat="1" spans="1:4">
      <c r="A47" s="1">
        <v>46</v>
      </c>
      <c r="B47" s="1" t="s">
        <v>904</v>
      </c>
      <c r="C47" s="1" t="s">
        <v>964</v>
      </c>
      <c r="D47" s="1" t="s">
        <v>958</v>
      </c>
    </row>
    <row r="48" s="1" customFormat="1" spans="1:4">
      <c r="A48" s="1">
        <v>47</v>
      </c>
      <c r="B48" s="1" t="s">
        <v>904</v>
      </c>
      <c r="C48" s="1" t="s">
        <v>965</v>
      </c>
      <c r="D48" s="1" t="s">
        <v>958</v>
      </c>
    </row>
    <row r="49" s="1" customFormat="1" spans="1:4">
      <c r="A49" s="1">
        <v>48</v>
      </c>
      <c r="B49" s="1" t="s">
        <v>904</v>
      </c>
      <c r="C49" s="1" t="s">
        <v>966</v>
      </c>
      <c r="D49" s="1" t="s">
        <v>958</v>
      </c>
    </row>
    <row r="50" s="1" customFormat="1" spans="1:4">
      <c r="A50" s="1">
        <v>49</v>
      </c>
      <c r="B50" s="1" t="s">
        <v>904</v>
      </c>
      <c r="C50" s="1" t="s">
        <v>967</v>
      </c>
      <c r="D50" s="1" t="s">
        <v>958</v>
      </c>
    </row>
    <row r="51" s="1" customFormat="1" spans="1:4">
      <c r="A51" s="1">
        <v>50</v>
      </c>
      <c r="B51" s="1" t="s">
        <v>928</v>
      </c>
      <c r="C51" s="1" t="s">
        <v>968</v>
      </c>
      <c r="D51" s="1" t="s">
        <v>969</v>
      </c>
    </row>
    <row r="52" s="2" customFormat="1" spans="1:4">
      <c r="A52" s="2">
        <v>51</v>
      </c>
      <c r="B52" s="2" t="s">
        <v>904</v>
      </c>
      <c r="C52" s="2" t="s">
        <v>970</v>
      </c>
      <c r="D52" s="2" t="s">
        <v>971</v>
      </c>
    </row>
    <row r="53" s="2" customFormat="1" spans="1:4">
      <c r="A53" s="2">
        <v>52</v>
      </c>
      <c r="B53" s="2" t="s">
        <v>904</v>
      </c>
      <c r="C53" s="2" t="s">
        <v>972</v>
      </c>
      <c r="D53" s="2" t="s">
        <v>971</v>
      </c>
    </row>
    <row r="54" s="2" customFormat="1" spans="1:4">
      <c r="A54" s="2">
        <v>53</v>
      </c>
      <c r="B54" s="2" t="s">
        <v>904</v>
      </c>
      <c r="C54" s="2" t="s">
        <v>973</v>
      </c>
      <c r="D54" s="2" t="s">
        <v>971</v>
      </c>
    </row>
    <row r="55" s="2" customFormat="1" spans="1:4">
      <c r="A55" s="2">
        <v>54</v>
      </c>
      <c r="B55" s="2" t="s">
        <v>904</v>
      </c>
      <c r="C55" s="2" t="s">
        <v>974</v>
      </c>
      <c r="D55" s="2" t="s">
        <v>971</v>
      </c>
    </row>
    <row r="56" s="2" customFormat="1" spans="1:4">
      <c r="A56" s="2">
        <v>55</v>
      </c>
      <c r="B56" s="2" t="s">
        <v>914</v>
      </c>
      <c r="C56" s="2" t="s">
        <v>975</v>
      </c>
      <c r="D56" s="2" t="s">
        <v>976</v>
      </c>
    </row>
    <row r="57" s="2" customFormat="1" spans="1:4">
      <c r="A57" s="2">
        <v>56</v>
      </c>
      <c r="B57" s="2" t="s">
        <v>904</v>
      </c>
      <c r="C57" s="2" t="s">
        <v>977</v>
      </c>
      <c r="D57" s="2" t="s">
        <v>971</v>
      </c>
    </row>
    <row r="58" s="2" customFormat="1" spans="1:4">
      <c r="A58" s="2">
        <v>57</v>
      </c>
      <c r="B58" s="2" t="s">
        <v>904</v>
      </c>
      <c r="C58" s="2" t="s">
        <v>978</v>
      </c>
      <c r="D58" s="2" t="s">
        <v>971</v>
      </c>
    </row>
    <row r="59" s="2" customFormat="1" spans="1:4">
      <c r="A59" s="2">
        <v>58</v>
      </c>
      <c r="B59" s="2" t="s">
        <v>904</v>
      </c>
      <c r="C59" s="2" t="s">
        <v>979</v>
      </c>
      <c r="D59" s="2" t="s">
        <v>971</v>
      </c>
    </row>
    <row r="60" s="2" customFormat="1" spans="1:4">
      <c r="A60" s="2">
        <v>59</v>
      </c>
      <c r="B60" s="2" t="s">
        <v>904</v>
      </c>
      <c r="C60" s="2" t="s">
        <v>980</v>
      </c>
      <c r="D60" s="2" t="s">
        <v>971</v>
      </c>
    </row>
    <row r="61" s="2" customFormat="1" spans="1:4">
      <c r="A61" s="2">
        <v>60</v>
      </c>
      <c r="B61" s="2" t="s">
        <v>928</v>
      </c>
      <c r="C61" s="2" t="s">
        <v>981</v>
      </c>
      <c r="D61" s="2" t="s">
        <v>982</v>
      </c>
    </row>
    <row r="62" s="1" customFormat="1" spans="1:4">
      <c r="A62" s="1">
        <v>61</v>
      </c>
      <c r="B62" s="1" t="s">
        <v>904</v>
      </c>
      <c r="C62" s="1" t="s">
        <v>983</v>
      </c>
      <c r="D62" s="1" t="s">
        <v>984</v>
      </c>
    </row>
    <row r="63" s="1" customFormat="1" spans="1:4">
      <c r="A63" s="1">
        <v>62</v>
      </c>
      <c r="B63" s="1" t="s">
        <v>904</v>
      </c>
      <c r="C63" s="1" t="s">
        <v>985</v>
      </c>
      <c r="D63" s="1" t="s">
        <v>984</v>
      </c>
    </row>
    <row r="64" s="1" customFormat="1" spans="1:4">
      <c r="A64" s="1">
        <v>63</v>
      </c>
      <c r="B64" s="1" t="s">
        <v>904</v>
      </c>
      <c r="C64" s="1" t="s">
        <v>986</v>
      </c>
      <c r="D64" s="1" t="s">
        <v>984</v>
      </c>
    </row>
    <row r="65" s="1" customFormat="1" spans="1:4">
      <c r="A65" s="1">
        <v>64</v>
      </c>
      <c r="B65" s="1" t="s">
        <v>904</v>
      </c>
      <c r="C65" s="1" t="s">
        <v>987</v>
      </c>
      <c r="D65" s="1" t="s">
        <v>984</v>
      </c>
    </row>
    <row r="66" s="1" customFormat="1" spans="1:4">
      <c r="A66" s="1">
        <v>65</v>
      </c>
      <c r="B66" s="1" t="s">
        <v>914</v>
      </c>
      <c r="C66" s="1" t="s">
        <v>988</v>
      </c>
      <c r="D66" s="1" t="s">
        <v>989</v>
      </c>
    </row>
    <row r="67" s="1" customFormat="1" spans="1:4">
      <c r="A67" s="1">
        <v>66</v>
      </c>
      <c r="B67" s="1" t="s">
        <v>904</v>
      </c>
      <c r="C67" s="1" t="s">
        <v>990</v>
      </c>
      <c r="D67" s="1" t="s">
        <v>984</v>
      </c>
    </row>
    <row r="68" s="1" customFormat="1" spans="1:4">
      <c r="A68" s="1">
        <v>67</v>
      </c>
      <c r="B68" s="1" t="s">
        <v>904</v>
      </c>
      <c r="C68" s="1" t="s">
        <v>991</v>
      </c>
      <c r="D68" s="1" t="s">
        <v>984</v>
      </c>
    </row>
    <row r="69" s="1" customFormat="1" spans="1:4">
      <c r="A69" s="1">
        <v>68</v>
      </c>
      <c r="B69" s="1" t="s">
        <v>904</v>
      </c>
      <c r="C69" s="1" t="s">
        <v>992</v>
      </c>
      <c r="D69" s="1" t="s">
        <v>984</v>
      </c>
    </row>
    <row r="70" s="1" customFormat="1" spans="1:4">
      <c r="A70" s="1">
        <v>69</v>
      </c>
      <c r="B70" s="1" t="s">
        <v>904</v>
      </c>
      <c r="C70" s="1" t="s">
        <v>993</v>
      </c>
      <c r="D70" s="1" t="s">
        <v>984</v>
      </c>
    </row>
    <row r="71" s="1" customFormat="1" spans="1:4">
      <c r="A71" s="1">
        <v>70</v>
      </c>
      <c r="B71" s="1" t="s">
        <v>928</v>
      </c>
      <c r="C71" s="1" t="s">
        <v>994</v>
      </c>
      <c r="D71" s="1" t="s">
        <v>995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Constants</vt:lpstr>
      <vt:lpstr>TrackingConstants</vt:lpstr>
      <vt:lpstr>IDs</vt:lpstr>
      <vt:lpstr>Configuration</vt:lpstr>
      <vt:lpstr>Characters</vt:lpstr>
      <vt:lpstr>Enemies</vt:lpstr>
      <vt:lpstr>EnemyAttacks</vt:lpstr>
      <vt:lpstr>Mods</vt:lpstr>
      <vt:lpstr>Equipments</vt:lpstr>
      <vt:lpstr>RescueRewards</vt:lpstr>
      <vt:lpstr>PlayerLevels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hungnb</cp:lastModifiedBy>
  <cp:revision>10</cp:revision>
  <dcterms:created xsi:type="dcterms:W3CDTF">2015-06-05T18:17:00Z</dcterms:created>
  <dcterms:modified xsi:type="dcterms:W3CDTF">2026-09-18T04:25:24Z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056B01076A1E49E18F198DCECDC9CE9C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